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2.xml" ContentType="application/vnd.openxmlformats-officedocument.themeOverrid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3.xml" ContentType="application/vnd.openxmlformats-officedocument.themeOverride+xml"/>
  <Override PartName="/xl/drawings/drawing6.xml" ContentType="application/vnd.openxmlformats-officedocument.drawingml.chartshape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Z:\Docs\HDD Documents\SQL Project\"/>
    </mc:Choice>
  </mc:AlternateContent>
  <xr:revisionPtr revIDLastSave="0" documentId="13_ncr:1_{1349B549-8ABE-4136-93EF-7426EF3CFD0D}" xr6:coauthVersionLast="47" xr6:coauthVersionMax="47" xr10:uidLastSave="{00000000-0000-0000-0000-000000000000}"/>
  <bookViews>
    <workbookView xWindow="38400" yWindow="1230" windowWidth="28800" windowHeight="15885" tabRatio="724" firstSheet="1" activeTab="9" xr2:uid="{CA5272FC-2549-49F4-A379-9C133AE16889}"/>
  </bookViews>
  <sheets>
    <sheet name="Home and Away Results" sheetId="4" r:id="rId1"/>
    <sheet name="Sheet1 (4)" sheetId="6" r:id="rId2"/>
    <sheet name="Sheet7" sheetId="9" r:id="rId3"/>
    <sheet name="performance" sheetId="1" r:id="rId4"/>
    <sheet name="Dashboard" sheetId="12" r:id="rId5"/>
    <sheet name="Referee Pivot Tables" sheetId="14" r:id="rId6"/>
    <sheet name="Referee Card Data" sheetId="13" r:id="rId7"/>
    <sheet name="Pitch Size" sheetId="16" r:id="rId8"/>
    <sheet name="Attendance Pivot Table" sheetId="25" r:id="rId9"/>
    <sheet name="Attendance Graph" sheetId="35" r:id="rId10"/>
    <sheet name="Attendance Data" sheetId="24" r:id="rId11"/>
  </sheets>
  <definedNames>
    <definedName name="Slicer_Season">#N/A</definedName>
  </definedNames>
  <calcPr calcId="191029"/>
  <pivotCaches>
    <pivotCache cacheId="0" r:id="rId12"/>
    <pivotCache cacheId="1" r:id="rId13"/>
    <pivotCache cacheId="2" r:id="rId14"/>
    <pivotCache cacheId="3"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43" i="24" l="1"/>
  <c r="AD243" i="24" s="1"/>
  <c r="AN23" i="24"/>
  <c r="AB237" i="24" s="1"/>
  <c r="AN22" i="24"/>
  <c r="AB10" i="24" s="1"/>
  <c r="AN21" i="24"/>
  <c r="AB213" i="24" s="1"/>
  <c r="AA374" i="24"/>
  <c r="AA365" i="24"/>
  <c r="AA372" i="24"/>
  <c r="AA366" i="24"/>
  <c r="AA370" i="24"/>
  <c r="AA368" i="24"/>
  <c r="AA373" i="24"/>
  <c r="AA371" i="24"/>
  <c r="AA367" i="24"/>
  <c r="AA364" i="24"/>
  <c r="AA363" i="24"/>
  <c r="AA362" i="24"/>
  <c r="AA359" i="24"/>
  <c r="AA360" i="24"/>
  <c r="AA361" i="24"/>
  <c r="AA357" i="24"/>
  <c r="AC357" i="24" s="1"/>
  <c r="AD357" i="24" s="1"/>
  <c r="AA353" i="24"/>
  <c r="AA354" i="24"/>
  <c r="AA355" i="24"/>
  <c r="AA358" i="24"/>
  <c r="AA356" i="24"/>
  <c r="AA352" i="24"/>
  <c r="AA351" i="24"/>
  <c r="AA348" i="24"/>
  <c r="AA349" i="24"/>
  <c r="AA350" i="24"/>
  <c r="AA344" i="24"/>
  <c r="AA347" i="24"/>
  <c r="AA346" i="24"/>
  <c r="AA343" i="24"/>
  <c r="AA345" i="24"/>
  <c r="AA342" i="24"/>
  <c r="AA339" i="24"/>
  <c r="AA341" i="24"/>
  <c r="AA340" i="24"/>
  <c r="AA338" i="24"/>
  <c r="AA337" i="24"/>
  <c r="AA332" i="24"/>
  <c r="AA336" i="24"/>
  <c r="AA334" i="24"/>
  <c r="AA335" i="24"/>
  <c r="AA333" i="24"/>
  <c r="AA331" i="24"/>
  <c r="AA329" i="24"/>
  <c r="AA330" i="24"/>
  <c r="AA328" i="24"/>
  <c r="AA327" i="24"/>
  <c r="AA322" i="24"/>
  <c r="AA323" i="24"/>
  <c r="AA325" i="24"/>
  <c r="AA326" i="24"/>
  <c r="AA324" i="24"/>
  <c r="AA320" i="24"/>
  <c r="AA319" i="24"/>
  <c r="AA321" i="24"/>
  <c r="AA318" i="24"/>
  <c r="AA316" i="24"/>
  <c r="AA317" i="24"/>
  <c r="AA313" i="24"/>
  <c r="AA314" i="24"/>
  <c r="AA312" i="24"/>
  <c r="AA315" i="24"/>
  <c r="AA309" i="24"/>
  <c r="AA311" i="24"/>
  <c r="AA310" i="24"/>
  <c r="AA307" i="24"/>
  <c r="AA308" i="24"/>
  <c r="AA303" i="24"/>
  <c r="AA304" i="24"/>
  <c r="AA305" i="24"/>
  <c r="AA306" i="24"/>
  <c r="AA302" i="24"/>
  <c r="AA301" i="24"/>
  <c r="AA299" i="24"/>
  <c r="AA300" i="24"/>
  <c r="AA298" i="24"/>
  <c r="AA295" i="24"/>
  <c r="AA296" i="24"/>
  <c r="AA292" i="24"/>
  <c r="AA294" i="24"/>
  <c r="AA293" i="24"/>
  <c r="AA297" i="24"/>
  <c r="AA291" i="24"/>
  <c r="AA290" i="24"/>
  <c r="AA286" i="24"/>
  <c r="AA289" i="24"/>
  <c r="AA283" i="24"/>
  <c r="AA282" i="24"/>
  <c r="AA288" i="24"/>
  <c r="AA285" i="24"/>
  <c r="AA287" i="24"/>
  <c r="AA284" i="24"/>
  <c r="AA281" i="24"/>
  <c r="AA280" i="24"/>
  <c r="AA276" i="24"/>
  <c r="AA277" i="24"/>
  <c r="AA278" i="24"/>
  <c r="AA279" i="24"/>
  <c r="AA275" i="24"/>
  <c r="AA273" i="24"/>
  <c r="AA274" i="24"/>
  <c r="AA269" i="24"/>
  <c r="AA271" i="24"/>
  <c r="AA266" i="24"/>
  <c r="AA270" i="24"/>
  <c r="AA267" i="24"/>
  <c r="AA268" i="24"/>
  <c r="AA272" i="24"/>
  <c r="AA265" i="24"/>
  <c r="AA262" i="24"/>
  <c r="AA260" i="24"/>
  <c r="AA261" i="24"/>
  <c r="AA263" i="24"/>
  <c r="AA264" i="24"/>
  <c r="AA259" i="24"/>
  <c r="AA258" i="24"/>
  <c r="AA257" i="24"/>
  <c r="AA253" i="24"/>
  <c r="AA255" i="24"/>
  <c r="AA254" i="24"/>
  <c r="AA256" i="24"/>
  <c r="AA247" i="24"/>
  <c r="AA251" i="24"/>
  <c r="AA248" i="24"/>
  <c r="AA252" i="24"/>
  <c r="AA249" i="24"/>
  <c r="AA250" i="24"/>
  <c r="AA246" i="24"/>
  <c r="AA245" i="24"/>
  <c r="AA244" i="24"/>
  <c r="AA243" i="24"/>
  <c r="AA241" i="24"/>
  <c r="AA242" i="24"/>
  <c r="AA238" i="24"/>
  <c r="AA239" i="24"/>
  <c r="AA240" i="24"/>
  <c r="AA237" i="24"/>
  <c r="AA236" i="24"/>
  <c r="AA235" i="24"/>
  <c r="AA234" i="24"/>
  <c r="AA232" i="24"/>
  <c r="AA230" i="24"/>
  <c r="AA233" i="24"/>
  <c r="AA229" i="24"/>
  <c r="AA228" i="24"/>
  <c r="AA231" i="24"/>
  <c r="AA227" i="24"/>
  <c r="AA226" i="24"/>
  <c r="AA225" i="24"/>
  <c r="AA223" i="24"/>
  <c r="AA217" i="24"/>
  <c r="AA220" i="24"/>
  <c r="AA221" i="24"/>
  <c r="AA222" i="24"/>
  <c r="AA218" i="24"/>
  <c r="AA219" i="24"/>
  <c r="AA224" i="24"/>
  <c r="AA216" i="24"/>
  <c r="AA215" i="24"/>
  <c r="AA213" i="24"/>
  <c r="AC213" i="24" s="1"/>
  <c r="AD213" i="24" s="1"/>
  <c r="AA214" i="24"/>
  <c r="AA208" i="24"/>
  <c r="AA211" i="24"/>
  <c r="AA210" i="24"/>
  <c r="AA207" i="24"/>
  <c r="AA212" i="24"/>
  <c r="AA209" i="24"/>
  <c r="AA206" i="24"/>
  <c r="AA205" i="24"/>
  <c r="AA203" i="24"/>
  <c r="AA204" i="24"/>
  <c r="AA199" i="24"/>
  <c r="AA202" i="24"/>
  <c r="AA196" i="24"/>
  <c r="AA200" i="24"/>
  <c r="AA197" i="24"/>
  <c r="AA198" i="24"/>
  <c r="AA201" i="24"/>
  <c r="AA195" i="24"/>
  <c r="AA194" i="24"/>
  <c r="AA191" i="24"/>
  <c r="AA192" i="24"/>
  <c r="AA193" i="24"/>
  <c r="AA186" i="24"/>
  <c r="AA185" i="24"/>
  <c r="AA190" i="24"/>
  <c r="AA188" i="24"/>
  <c r="AA187" i="24"/>
  <c r="AA189" i="24"/>
  <c r="AA184" i="24"/>
  <c r="AA183" i="24"/>
  <c r="AA181" i="24"/>
  <c r="AA182" i="24"/>
  <c r="AA180" i="24"/>
  <c r="AA178" i="24"/>
  <c r="AA179" i="24"/>
  <c r="AA176" i="24"/>
  <c r="AA177" i="24"/>
  <c r="AA175" i="24"/>
  <c r="AA174" i="24"/>
  <c r="AA173" i="24"/>
  <c r="AA172" i="24"/>
  <c r="AA168" i="24"/>
  <c r="AA169" i="24"/>
  <c r="AA170" i="24"/>
  <c r="AA171" i="24"/>
  <c r="AA167" i="24"/>
  <c r="AA165" i="24"/>
  <c r="AA166" i="24"/>
  <c r="AA164" i="24"/>
  <c r="AA163" i="24"/>
  <c r="AA162" i="24"/>
  <c r="AA158" i="24"/>
  <c r="AA156" i="24"/>
  <c r="AA157" i="24"/>
  <c r="AA161" i="24"/>
  <c r="AA159" i="24"/>
  <c r="AA160" i="24"/>
  <c r="AA155" i="24"/>
  <c r="AA154" i="24"/>
  <c r="AA153" i="24"/>
  <c r="AA151" i="24"/>
  <c r="AA152" i="24"/>
  <c r="AA144" i="24"/>
  <c r="AA145" i="24"/>
  <c r="AA148" i="24"/>
  <c r="AA149" i="24"/>
  <c r="AA146" i="24"/>
  <c r="AA150" i="24"/>
  <c r="AA147" i="24"/>
  <c r="AA143" i="24"/>
  <c r="AA142" i="24"/>
  <c r="AA140" i="24"/>
  <c r="AA137" i="24"/>
  <c r="AA138" i="24"/>
  <c r="AA139" i="24"/>
  <c r="AA141" i="24"/>
  <c r="AA133" i="24"/>
  <c r="AA134" i="24"/>
  <c r="AA135" i="24"/>
  <c r="AA136" i="24"/>
  <c r="AA129" i="24"/>
  <c r="AA128" i="24"/>
  <c r="AA131" i="24"/>
  <c r="AA130" i="24"/>
  <c r="AA132" i="24"/>
  <c r="AA126" i="24"/>
  <c r="AA127" i="24"/>
  <c r="AA121" i="24"/>
  <c r="AA122" i="24"/>
  <c r="AA123" i="24"/>
  <c r="AA124" i="24"/>
  <c r="AA118" i="24"/>
  <c r="AA119" i="24"/>
  <c r="AA125" i="24"/>
  <c r="AA120" i="24"/>
  <c r="AA117" i="24"/>
  <c r="AA112" i="24"/>
  <c r="AC112" i="24" s="1"/>
  <c r="AD112" i="24" s="1"/>
  <c r="AA113" i="24"/>
  <c r="AA114" i="24"/>
  <c r="AA116" i="24"/>
  <c r="AA115" i="24"/>
  <c r="AA108" i="24"/>
  <c r="AA110" i="24"/>
  <c r="AA111" i="24"/>
  <c r="AA109" i="24"/>
  <c r="AA106" i="24"/>
  <c r="AA107" i="24"/>
  <c r="AA103" i="24"/>
  <c r="AA99" i="24"/>
  <c r="AA102" i="24"/>
  <c r="AA98" i="24"/>
  <c r="AA101" i="24"/>
  <c r="AA100" i="24"/>
  <c r="AA104" i="24"/>
  <c r="AA105" i="24"/>
  <c r="AA97" i="24"/>
  <c r="AA96" i="24"/>
  <c r="AA94" i="24"/>
  <c r="AA93" i="24"/>
  <c r="AA95" i="24"/>
  <c r="AA92" i="24"/>
  <c r="AA91" i="24"/>
  <c r="AA88" i="24"/>
  <c r="AA87" i="24"/>
  <c r="AA89" i="24"/>
  <c r="AA90" i="24"/>
  <c r="AA86" i="24"/>
  <c r="AA85" i="24"/>
  <c r="AA82" i="24"/>
  <c r="AA81" i="24"/>
  <c r="AA83" i="24"/>
  <c r="AA84" i="24"/>
  <c r="AA76" i="24"/>
  <c r="AA77" i="24"/>
  <c r="AA79" i="24"/>
  <c r="AA80" i="24"/>
  <c r="AA78" i="24"/>
  <c r="AA75" i="24"/>
  <c r="AA74" i="24"/>
  <c r="AA73" i="24"/>
  <c r="AA72" i="24"/>
  <c r="AA66" i="24"/>
  <c r="AA71" i="24"/>
  <c r="AA67" i="24"/>
  <c r="AA68" i="24"/>
  <c r="AA70" i="24"/>
  <c r="AA69" i="24"/>
  <c r="AA64" i="24"/>
  <c r="AA65" i="24"/>
  <c r="AA62" i="24"/>
  <c r="AA63" i="24"/>
  <c r="AA61" i="24"/>
  <c r="AA60" i="24"/>
  <c r="AA59" i="24"/>
  <c r="AA57" i="24"/>
  <c r="AA58" i="24"/>
  <c r="AA54" i="24"/>
  <c r="AA53" i="24"/>
  <c r="AA55" i="24"/>
  <c r="AA50" i="24"/>
  <c r="AA52" i="24"/>
  <c r="AA51" i="24"/>
  <c r="AA56" i="24"/>
  <c r="AA49" i="24"/>
  <c r="AA47" i="24"/>
  <c r="AA44" i="24"/>
  <c r="AA48" i="24"/>
  <c r="AA46" i="24"/>
  <c r="AA45" i="24"/>
  <c r="AA42" i="24"/>
  <c r="AA41" i="24"/>
  <c r="AA43" i="24"/>
  <c r="AA40" i="24"/>
  <c r="AA39" i="24"/>
  <c r="AA38" i="24"/>
  <c r="AA33" i="24"/>
  <c r="AA32" i="24"/>
  <c r="AA34" i="24"/>
  <c r="AA35" i="24"/>
  <c r="AA31" i="24"/>
  <c r="AA36" i="24"/>
  <c r="AA37" i="24"/>
  <c r="AA29" i="24"/>
  <c r="AA28" i="24"/>
  <c r="AA30" i="24"/>
  <c r="AA26" i="24"/>
  <c r="AA24" i="24"/>
  <c r="AA27" i="24"/>
  <c r="AA22" i="24"/>
  <c r="AA25" i="24"/>
  <c r="AA23" i="24"/>
  <c r="AA21" i="24"/>
  <c r="AA19" i="24"/>
  <c r="AA20" i="24"/>
  <c r="AA17" i="24"/>
  <c r="AA15" i="24"/>
  <c r="AA16" i="24"/>
  <c r="AA18" i="24"/>
  <c r="AA13" i="24"/>
  <c r="AA14" i="24"/>
  <c r="AA12" i="24"/>
  <c r="AA10" i="24"/>
  <c r="AC10" i="24" s="1"/>
  <c r="AD10" i="24" s="1"/>
  <c r="AA11" i="24"/>
  <c r="AA9" i="24"/>
  <c r="AA4" i="24"/>
  <c r="AA3" i="24"/>
  <c r="AA5" i="24"/>
  <c r="AA7" i="24"/>
  <c r="AA6" i="24"/>
  <c r="AA8" i="24"/>
  <c r="AA2" i="24"/>
  <c r="AA369" i="24"/>
  <c r="AN20" i="24"/>
  <c r="AB293" i="24" s="1"/>
  <c r="AN19" i="24"/>
  <c r="AB133" i="24" s="1"/>
  <c r="AN18" i="24"/>
  <c r="AB357" i="24" s="1"/>
  <c r="AN17" i="24"/>
  <c r="AN16" i="24"/>
  <c r="AB340" i="24" s="1"/>
  <c r="AC340" i="24" s="1"/>
  <c r="AD340" i="24" s="1"/>
  <c r="AN15" i="24"/>
  <c r="AB224" i="24" s="1"/>
  <c r="AN14" i="24"/>
  <c r="AB243" i="24" s="1"/>
  <c r="AN13" i="24"/>
  <c r="AB345" i="24" s="1"/>
  <c r="AN12" i="24"/>
  <c r="AN11" i="24"/>
  <c r="AB100" i="24" s="1"/>
  <c r="AC100" i="24" s="1"/>
  <c r="AD100" i="24" s="1"/>
  <c r="AN10" i="24"/>
  <c r="AB112" i="24" s="1"/>
  <c r="AN9" i="24"/>
  <c r="AN8" i="24"/>
  <c r="AB82" i="24" s="1"/>
  <c r="AN7" i="24"/>
  <c r="AB151" i="24" s="1"/>
  <c r="AN6" i="24"/>
  <c r="AN5" i="24"/>
  <c r="AB363" i="24" s="1"/>
  <c r="AN4" i="24"/>
  <c r="AN3" i="24"/>
  <c r="AB185" i="24" s="1"/>
  <c r="AN2" i="24"/>
  <c r="AN1" i="24"/>
  <c r="AB15" i="24" s="1"/>
  <c r="D3" i="16"/>
  <c r="D4" i="16"/>
  <c r="D5" i="16"/>
  <c r="D6" i="16"/>
  <c r="D7" i="16"/>
  <c r="D8" i="16"/>
  <c r="D9" i="16"/>
  <c r="D10" i="16"/>
  <c r="D11" i="16"/>
  <c r="D12" i="16"/>
  <c r="D13" i="16"/>
  <c r="D14" i="16"/>
  <c r="D15" i="16"/>
  <c r="D16" i="16"/>
  <c r="D17" i="16"/>
  <c r="D18" i="16"/>
  <c r="D19" i="16"/>
  <c r="D20" i="16"/>
  <c r="D21" i="16"/>
  <c r="D2" i="16"/>
  <c r="H12" i="12"/>
  <c r="I12" i="12"/>
  <c r="J12" i="12"/>
  <c r="K12" i="12"/>
  <c r="H13" i="12"/>
  <c r="I13" i="12"/>
  <c r="J13" i="12"/>
  <c r="K13" i="12"/>
  <c r="H14" i="12"/>
  <c r="I14" i="12"/>
  <c r="J14" i="12"/>
  <c r="K14" i="12"/>
  <c r="H15" i="12"/>
  <c r="I15" i="12"/>
  <c r="J15" i="12"/>
  <c r="K15" i="12"/>
  <c r="H16" i="12"/>
  <c r="I16" i="12"/>
  <c r="J16" i="12"/>
  <c r="K16" i="12"/>
  <c r="H17" i="12"/>
  <c r="I17" i="12"/>
  <c r="J17" i="12"/>
  <c r="K17" i="12"/>
  <c r="H18" i="12"/>
  <c r="I18" i="12"/>
  <c r="J18" i="12"/>
  <c r="K18" i="12"/>
  <c r="H19" i="12"/>
  <c r="I19" i="12"/>
  <c r="J19" i="12"/>
  <c r="K19" i="12"/>
  <c r="H20" i="12"/>
  <c r="I20" i="12"/>
  <c r="J20" i="12"/>
  <c r="K20" i="12"/>
  <c r="H21" i="12"/>
  <c r="I21" i="12"/>
  <c r="J21" i="12"/>
  <c r="K21" i="12"/>
  <c r="H22" i="12"/>
  <c r="I22" i="12"/>
  <c r="J22" i="12"/>
  <c r="K22" i="12"/>
  <c r="H23" i="12"/>
  <c r="I23" i="12"/>
  <c r="J23" i="12"/>
  <c r="K23" i="12"/>
  <c r="H24" i="12"/>
  <c r="I24" i="12"/>
  <c r="J24" i="12"/>
  <c r="K24" i="12"/>
  <c r="H25" i="12"/>
  <c r="I25" i="12"/>
  <c r="J25" i="12"/>
  <c r="K25" i="12"/>
  <c r="H26" i="12"/>
  <c r="I26" i="12"/>
  <c r="J26" i="12"/>
  <c r="K26" i="12"/>
  <c r="H27" i="12"/>
  <c r="I27" i="12"/>
  <c r="J27" i="12"/>
  <c r="K27" i="12"/>
  <c r="H28" i="12"/>
  <c r="I28" i="12"/>
  <c r="J28" i="12"/>
  <c r="K28" i="12"/>
  <c r="H29" i="12"/>
  <c r="I29" i="12"/>
  <c r="J29" i="12"/>
  <c r="K29" i="12"/>
  <c r="H30" i="12"/>
  <c r="I30" i="12"/>
  <c r="J30" i="12"/>
  <c r="K30" i="12"/>
  <c r="I11" i="12"/>
  <c r="J11" i="12"/>
  <c r="K11" i="12"/>
  <c r="H11" i="12"/>
  <c r="AC15" i="24" l="1"/>
  <c r="AD15" i="24" s="1"/>
  <c r="AC224" i="24"/>
  <c r="AD224" i="24" s="1"/>
  <c r="AC293" i="24"/>
  <c r="AD293" i="24" s="1"/>
  <c r="AC345" i="24"/>
  <c r="AD345" i="24" s="1"/>
  <c r="AC363" i="24"/>
  <c r="AD363" i="24" s="1"/>
  <c r="AC153" i="24"/>
  <c r="AD153" i="24" s="1"/>
  <c r="AC66" i="24"/>
  <c r="AD66" i="24" s="1"/>
  <c r="AC165" i="24"/>
  <c r="AD165" i="24" s="1"/>
  <c r="AC23" i="24"/>
  <c r="AD23" i="24" s="1"/>
  <c r="AC325" i="24"/>
  <c r="AD325" i="24" s="1"/>
  <c r="AC212" i="24"/>
  <c r="AD212" i="24" s="1"/>
  <c r="AC162" i="24"/>
  <c r="AD162" i="24" s="1"/>
  <c r="AC185" i="24"/>
  <c r="AD185" i="24" s="1"/>
  <c r="AC237" i="24"/>
  <c r="AD237" i="24" s="1"/>
  <c r="AC374" i="24"/>
  <c r="AD374" i="24" s="1"/>
  <c r="AC76" i="24"/>
  <c r="AD76" i="24" s="1"/>
  <c r="AC82" i="24"/>
  <c r="AD82" i="24" s="1"/>
  <c r="AC89" i="24"/>
  <c r="AD89" i="24" s="1"/>
  <c r="AC219" i="24"/>
  <c r="AD219" i="24" s="1"/>
  <c r="AC240" i="24"/>
  <c r="AD240" i="24" s="1"/>
  <c r="AC322" i="24"/>
  <c r="AD322" i="24" s="1"/>
  <c r="AC208" i="24"/>
  <c r="AD208" i="24" s="1"/>
  <c r="AC296" i="24"/>
  <c r="AD296" i="24" s="1"/>
  <c r="AC125" i="24"/>
  <c r="AD125" i="24" s="1"/>
  <c r="AC21" i="24"/>
  <c r="AD21" i="24" s="1"/>
  <c r="AC28" i="24"/>
  <c r="AD28" i="24" s="1"/>
  <c r="AC95" i="24"/>
  <c r="AD95" i="24" s="1"/>
  <c r="AC133" i="24"/>
  <c r="AD133" i="24" s="1"/>
  <c r="AC151" i="24"/>
  <c r="AD151" i="24" s="1"/>
  <c r="AC209" i="24"/>
  <c r="AD209" i="24" s="1"/>
  <c r="AC291" i="24"/>
  <c r="AD291" i="24" s="1"/>
  <c r="AC306" i="24"/>
  <c r="AD306" i="24" s="1"/>
  <c r="AB68" i="24"/>
  <c r="AC68" i="24" s="1"/>
  <c r="AD68" i="24" s="1"/>
  <c r="AB147" i="24"/>
  <c r="AC147" i="24" s="1"/>
  <c r="AD147" i="24" s="1"/>
  <c r="AB235" i="24"/>
  <c r="AC235" i="24" s="1"/>
  <c r="AD235" i="24" s="1"/>
  <c r="AB369" i="24"/>
  <c r="AC369" i="24" s="1"/>
  <c r="AD369" i="24" s="1"/>
  <c r="AB76" i="24"/>
  <c r="AB154" i="24"/>
  <c r="AC154" i="24" s="1"/>
  <c r="AD154" i="24" s="1"/>
  <c r="AB257" i="24"/>
  <c r="AC257" i="24" s="1"/>
  <c r="AD257" i="24" s="1"/>
  <c r="AB16" i="24"/>
  <c r="AC16" i="24" s="1"/>
  <c r="AD16" i="24" s="1"/>
  <c r="AB91" i="24"/>
  <c r="AC91" i="24" s="1"/>
  <c r="AD91" i="24" s="1"/>
  <c r="AB193" i="24"/>
  <c r="AC193" i="24" s="1"/>
  <c r="AD193" i="24" s="1"/>
  <c r="AB301" i="24"/>
  <c r="AC301" i="24" s="1"/>
  <c r="AD301" i="24" s="1"/>
  <c r="AB33" i="24"/>
  <c r="AC33" i="24" s="1"/>
  <c r="AD33" i="24" s="1"/>
  <c r="AB117" i="24"/>
  <c r="AC117" i="24" s="1"/>
  <c r="AD117" i="24" s="1"/>
  <c r="AB132" i="24"/>
  <c r="AC132" i="24" s="1"/>
  <c r="AD132" i="24" s="1"/>
  <c r="AB75" i="24"/>
  <c r="AC75" i="24" s="1"/>
  <c r="AD75" i="24" s="1"/>
  <c r="AB103" i="24"/>
  <c r="AC103" i="24" s="1"/>
  <c r="AD103" i="24" s="1"/>
  <c r="AB143" i="24"/>
  <c r="AC143" i="24" s="1"/>
  <c r="AD143" i="24" s="1"/>
  <c r="AB157" i="24"/>
  <c r="AC157" i="24" s="1"/>
  <c r="AD157" i="24" s="1"/>
  <c r="AB204" i="24"/>
  <c r="AC204" i="24" s="1"/>
  <c r="AD204" i="24" s="1"/>
  <c r="AB252" i="24"/>
  <c r="AC252" i="24" s="1"/>
  <c r="AD252" i="24" s="1"/>
  <c r="AB308" i="24"/>
  <c r="AC308" i="24" s="1"/>
  <c r="AD308" i="24" s="1"/>
  <c r="AB163" i="24"/>
  <c r="AC163" i="24" s="1"/>
  <c r="AD163" i="24" s="1"/>
  <c r="AB9" i="24"/>
  <c r="AC9" i="24" s="1"/>
  <c r="AD9" i="24" s="1"/>
  <c r="AB44" i="24"/>
  <c r="AC44" i="24" s="1"/>
  <c r="AD44" i="24" s="1"/>
  <c r="AB87" i="24"/>
  <c r="AC87" i="24" s="1"/>
  <c r="AD87" i="24" s="1"/>
  <c r="AB125" i="24"/>
  <c r="AB178" i="24"/>
  <c r="AC178" i="24" s="1"/>
  <c r="AD178" i="24" s="1"/>
  <c r="AB215" i="24"/>
  <c r="AC215" i="24" s="1"/>
  <c r="AD215" i="24" s="1"/>
  <c r="AB288" i="24"/>
  <c r="AC288" i="24" s="1"/>
  <c r="AD288" i="24" s="1"/>
  <c r="AB211" i="24"/>
  <c r="AC211" i="24" s="1"/>
  <c r="AD211" i="24" s="1"/>
  <c r="AB122" i="24"/>
  <c r="AC122" i="24" s="1"/>
  <c r="AD122" i="24" s="1"/>
  <c r="AB265" i="24"/>
  <c r="AC265" i="24" s="1"/>
  <c r="AD265" i="24" s="1"/>
  <c r="AB241" i="24"/>
  <c r="AC241" i="24" s="1"/>
  <c r="AD241" i="24" s="1"/>
  <c r="AB167" i="24"/>
  <c r="AC167" i="24" s="1"/>
  <c r="AD167" i="24" s="1"/>
  <c r="AB72" i="24"/>
  <c r="AC72" i="24" s="1"/>
  <c r="AD72" i="24" s="1"/>
  <c r="AB302" i="24"/>
  <c r="AC302" i="24" s="1"/>
  <c r="AD302" i="24" s="1"/>
  <c r="AB331" i="24"/>
  <c r="AC331" i="24" s="1"/>
  <c r="AD331" i="24" s="1"/>
  <c r="AB270" i="24"/>
  <c r="AC270" i="24" s="1"/>
  <c r="AD270" i="24" s="1"/>
  <c r="AB200" i="24"/>
  <c r="AC200" i="24" s="1"/>
  <c r="AD200" i="24" s="1"/>
  <c r="AB160" i="24"/>
  <c r="AC160" i="24" s="1"/>
  <c r="AD160" i="24" s="1"/>
  <c r="AB97" i="24"/>
  <c r="AC97" i="24" s="1"/>
  <c r="AD97" i="24" s="1"/>
  <c r="AB220" i="24"/>
  <c r="AC220" i="24" s="1"/>
  <c r="AD220" i="24" s="1"/>
  <c r="AB321" i="24"/>
  <c r="AC321" i="24" s="1"/>
  <c r="AD321" i="24" s="1"/>
  <c r="AB258" i="24"/>
  <c r="AC258" i="24" s="1"/>
  <c r="AD258" i="24" s="1"/>
  <c r="AB296" i="24"/>
  <c r="AB148" i="24"/>
  <c r="AC148" i="24" s="1"/>
  <c r="AD148" i="24" s="1"/>
  <c r="AB84" i="24"/>
  <c r="AC84" i="24" s="1"/>
  <c r="AD84" i="24" s="1"/>
  <c r="AB370" i="24"/>
  <c r="AC370" i="24" s="1"/>
  <c r="AD370" i="24" s="1"/>
  <c r="AB349" i="24"/>
  <c r="AC349" i="24" s="1"/>
  <c r="AD349" i="24" s="1"/>
  <c r="AB251" i="24"/>
  <c r="AC251" i="24" s="1"/>
  <c r="AD251" i="24" s="1"/>
  <c r="AB54" i="24"/>
  <c r="AC54" i="24" s="1"/>
  <c r="AD54" i="24" s="1"/>
  <c r="AB27" i="24"/>
  <c r="AC27" i="24" s="1"/>
  <c r="AD27" i="24" s="1"/>
  <c r="AB275" i="24"/>
  <c r="AC275" i="24" s="1"/>
  <c r="AD275" i="24" s="1"/>
  <c r="AB255" i="24"/>
  <c r="AC255" i="24" s="1"/>
  <c r="AD255" i="24" s="1"/>
  <c r="AB226" i="24"/>
  <c r="AC226" i="24" s="1"/>
  <c r="AD226" i="24" s="1"/>
  <c r="AB58" i="24"/>
  <c r="AC58" i="24" s="1"/>
  <c r="AD58" i="24" s="1"/>
  <c r="AB286" i="24"/>
  <c r="AC286" i="24" s="1"/>
  <c r="AD286" i="24" s="1"/>
  <c r="AB205" i="24"/>
  <c r="AC205" i="24" s="1"/>
  <c r="AD205" i="24" s="1"/>
  <c r="AB197" i="24"/>
  <c r="AC197" i="24" s="1"/>
  <c r="AD197" i="24" s="1"/>
  <c r="AB123" i="24"/>
  <c r="AC123" i="24" s="1"/>
  <c r="AD123" i="24" s="1"/>
  <c r="AB95" i="24"/>
  <c r="AB371" i="24"/>
  <c r="AC371" i="24" s="1"/>
  <c r="AD371" i="24" s="1"/>
  <c r="AB368" i="24"/>
  <c r="AC368" i="24" s="1"/>
  <c r="AD368" i="24" s="1"/>
  <c r="AB310" i="24"/>
  <c r="AC310" i="24" s="1"/>
  <c r="AD310" i="24" s="1"/>
  <c r="AB291" i="24"/>
  <c r="AB277" i="24"/>
  <c r="AC277" i="24" s="1"/>
  <c r="AD277" i="24" s="1"/>
  <c r="AB169" i="24"/>
  <c r="AC169" i="24" s="1"/>
  <c r="AD169" i="24" s="1"/>
  <c r="AB73" i="24"/>
  <c r="AC73" i="24" s="1"/>
  <c r="AD73" i="24" s="1"/>
  <c r="AB43" i="24"/>
  <c r="AC43" i="24" s="1"/>
  <c r="AD43" i="24" s="1"/>
  <c r="AB130" i="24"/>
  <c r="AC130" i="24" s="1"/>
  <c r="AD130" i="24" s="1"/>
  <c r="AB115" i="24"/>
  <c r="AC115" i="24" s="1"/>
  <c r="AD115" i="24" s="1"/>
  <c r="AB344" i="24"/>
  <c r="AC344" i="24" s="1"/>
  <c r="AD344" i="24" s="1"/>
  <c r="AB248" i="24"/>
  <c r="AC248" i="24" s="1"/>
  <c r="AD248" i="24" s="1"/>
  <c r="AB191" i="24"/>
  <c r="AC191" i="24" s="1"/>
  <c r="AD191" i="24" s="1"/>
  <c r="AB8" i="24"/>
  <c r="AC8" i="24" s="1"/>
  <c r="AD8" i="24" s="1"/>
  <c r="AB37" i="24"/>
  <c r="AC37" i="24" s="1"/>
  <c r="AD37" i="24" s="1"/>
  <c r="AB47" i="24"/>
  <c r="AC47" i="24" s="1"/>
  <c r="AD47" i="24" s="1"/>
  <c r="AB78" i="24"/>
  <c r="AC78" i="24" s="1"/>
  <c r="AD78" i="24" s="1"/>
  <c r="AB121" i="24"/>
  <c r="AC121" i="24" s="1"/>
  <c r="AD121" i="24" s="1"/>
  <c r="AB152" i="24"/>
  <c r="AC152" i="24" s="1"/>
  <c r="AD152" i="24" s="1"/>
  <c r="AB199" i="24"/>
  <c r="AC199" i="24" s="1"/>
  <c r="AD199" i="24" s="1"/>
  <c r="AB232" i="24"/>
  <c r="AC232" i="24" s="1"/>
  <c r="AD232" i="24" s="1"/>
  <c r="AB271" i="24"/>
  <c r="AC271" i="24" s="1"/>
  <c r="AD271" i="24" s="1"/>
  <c r="AB34" i="24"/>
  <c r="AC34" i="24" s="1"/>
  <c r="AD34" i="24" s="1"/>
  <c r="AB65" i="24"/>
  <c r="AC65" i="24" s="1"/>
  <c r="AD65" i="24" s="1"/>
  <c r="AB106" i="24"/>
  <c r="AC106" i="24" s="1"/>
  <c r="AD106" i="24" s="1"/>
  <c r="AB179" i="24"/>
  <c r="AC179" i="24" s="1"/>
  <c r="AD179" i="24" s="1"/>
  <c r="AB281" i="24"/>
  <c r="AC281" i="24" s="1"/>
  <c r="AD281" i="24" s="1"/>
  <c r="AB318" i="24"/>
  <c r="AC318" i="24" s="1"/>
  <c r="AD318" i="24" s="1"/>
  <c r="AB149" i="24"/>
  <c r="AC149" i="24" s="1"/>
  <c r="AD149" i="24" s="1"/>
  <c r="AB278" i="24"/>
  <c r="AC278" i="24" s="1"/>
  <c r="AD278" i="24" s="1"/>
  <c r="AB330" i="24"/>
  <c r="AC330" i="24" s="1"/>
  <c r="AD330" i="24" s="1"/>
  <c r="AB26" i="24"/>
  <c r="AC26" i="24" s="1"/>
  <c r="AD26" i="24" s="1"/>
  <c r="AB365" i="24"/>
  <c r="AC365" i="24" s="1"/>
  <c r="AD365" i="24" s="1"/>
  <c r="AB246" i="24"/>
  <c r="AC246" i="24" s="1"/>
  <c r="AD246" i="24" s="1"/>
  <c r="AB319" i="24"/>
  <c r="AC319" i="24" s="1"/>
  <c r="AD319" i="24" s="1"/>
  <c r="AB196" i="24"/>
  <c r="AC196" i="24" s="1"/>
  <c r="AD196" i="24" s="1"/>
  <c r="AB86" i="24"/>
  <c r="AC86" i="24" s="1"/>
  <c r="AD86" i="24" s="1"/>
  <c r="AB119" i="24"/>
  <c r="AC119" i="24" s="1"/>
  <c r="AD119" i="24" s="1"/>
  <c r="AB348" i="24"/>
  <c r="AC348" i="24" s="1"/>
  <c r="AD348" i="24" s="1"/>
  <c r="AB283" i="24"/>
  <c r="AC283" i="24" s="1"/>
  <c r="AD283" i="24" s="1"/>
  <c r="AB144" i="24"/>
  <c r="AC144" i="24" s="1"/>
  <c r="AD144" i="24" s="1"/>
  <c r="AB64" i="24"/>
  <c r="AC64" i="24" s="1"/>
  <c r="AD64" i="24" s="1"/>
  <c r="AB12" i="24"/>
  <c r="AC12" i="24" s="1"/>
  <c r="AD12" i="24" s="1"/>
  <c r="AB32" i="24"/>
  <c r="AC32" i="24" s="1"/>
  <c r="AD32" i="24" s="1"/>
  <c r="AB96" i="24"/>
  <c r="AC96" i="24" s="1"/>
  <c r="AD96" i="24" s="1"/>
  <c r="AB189" i="24"/>
  <c r="AC189" i="24" s="1"/>
  <c r="AD189" i="24" s="1"/>
  <c r="AB217" i="24"/>
  <c r="AC217" i="24" s="1"/>
  <c r="AD217" i="24" s="1"/>
  <c r="AB260" i="24"/>
  <c r="AC260" i="24" s="1"/>
  <c r="AD260" i="24" s="1"/>
  <c r="AB304" i="24"/>
  <c r="AC304" i="24" s="1"/>
  <c r="AD304" i="24" s="1"/>
  <c r="AB300" i="24"/>
  <c r="AC300" i="24" s="1"/>
  <c r="AD300" i="24" s="1"/>
  <c r="AB311" i="24"/>
  <c r="AC311" i="24" s="1"/>
  <c r="AD311" i="24" s="1"/>
  <c r="AB298" i="24"/>
  <c r="AC298" i="24" s="1"/>
  <c r="AD298" i="24" s="1"/>
  <c r="AB374" i="24"/>
  <c r="AB347" i="24"/>
  <c r="AC347" i="24" s="1"/>
  <c r="AD347" i="24" s="1"/>
  <c r="AB289" i="24"/>
  <c r="AC289" i="24" s="1"/>
  <c r="AD289" i="24" s="1"/>
  <c r="AB262" i="24"/>
  <c r="AC262" i="24" s="1"/>
  <c r="AD262" i="24" s="1"/>
  <c r="AB223" i="24"/>
  <c r="AC223" i="24" s="1"/>
  <c r="AD223" i="24" s="1"/>
  <c r="AB170" i="24"/>
  <c r="AC170" i="24" s="1"/>
  <c r="AD170" i="24" s="1"/>
  <c r="AB150" i="24"/>
  <c r="AC150" i="24" s="1"/>
  <c r="AD150" i="24" s="1"/>
  <c r="AB56" i="24"/>
  <c r="AC56" i="24" s="1"/>
  <c r="AD56" i="24" s="1"/>
  <c r="AB17" i="24"/>
  <c r="AC17" i="24" s="1"/>
  <c r="AD17" i="24" s="1"/>
  <c r="AB242" i="24"/>
  <c r="AC242" i="24" s="1"/>
  <c r="AD242" i="24" s="1"/>
  <c r="AB202" i="24"/>
  <c r="AC202" i="24" s="1"/>
  <c r="AD202" i="24" s="1"/>
  <c r="AB40" i="24"/>
  <c r="AC40" i="24" s="1"/>
  <c r="AD40" i="24" s="1"/>
  <c r="AB116" i="24"/>
  <c r="AC116" i="24" s="1"/>
  <c r="AD116" i="24" s="1"/>
  <c r="AB60" i="24"/>
  <c r="AC60" i="24" s="1"/>
  <c r="AD60" i="24" s="1"/>
  <c r="AB354" i="24"/>
  <c r="AC354" i="24" s="1"/>
  <c r="AD354" i="24" s="1"/>
  <c r="AB303" i="24"/>
  <c r="AC303" i="24" s="1"/>
  <c r="AD303" i="24" s="1"/>
  <c r="AB282" i="24"/>
  <c r="AC282" i="24" s="1"/>
  <c r="AD282" i="24" s="1"/>
  <c r="AB194" i="24"/>
  <c r="AC194" i="24" s="1"/>
  <c r="AD194" i="24" s="1"/>
  <c r="AB339" i="24"/>
  <c r="AC339" i="24" s="1"/>
  <c r="AD339" i="24" s="1"/>
  <c r="AB323" i="24"/>
  <c r="AC323" i="24" s="1"/>
  <c r="AD323" i="24" s="1"/>
  <c r="AB253" i="24"/>
  <c r="AC253" i="24" s="1"/>
  <c r="AD253" i="24" s="1"/>
  <c r="AB173" i="24"/>
  <c r="AC173" i="24" s="1"/>
  <c r="AD173" i="24" s="1"/>
  <c r="AB41" i="24"/>
  <c r="AC41" i="24" s="1"/>
  <c r="AD41" i="24" s="1"/>
  <c r="AB99" i="24"/>
  <c r="AC99" i="24" s="1"/>
  <c r="AD99" i="24" s="1"/>
  <c r="AB22" i="24"/>
  <c r="AC22" i="24" s="1"/>
  <c r="AD22" i="24" s="1"/>
  <c r="AB4" i="24"/>
  <c r="AC4" i="24" s="1"/>
  <c r="AD4" i="24" s="1"/>
  <c r="AB361" i="24"/>
  <c r="AC361" i="24" s="1"/>
  <c r="AD361" i="24" s="1"/>
  <c r="AB336" i="24"/>
  <c r="AC336" i="24" s="1"/>
  <c r="AD336" i="24" s="1"/>
  <c r="AB315" i="24"/>
  <c r="AC315" i="24" s="1"/>
  <c r="AD315" i="24" s="1"/>
  <c r="AB297" i="24"/>
  <c r="AC297" i="24" s="1"/>
  <c r="AD297" i="24" s="1"/>
  <c r="AB269" i="24"/>
  <c r="AC269" i="24" s="1"/>
  <c r="AD269" i="24" s="1"/>
  <c r="AB192" i="24"/>
  <c r="AC192" i="24" s="1"/>
  <c r="AD192" i="24" s="1"/>
  <c r="AB184" i="24"/>
  <c r="AC184" i="24" s="1"/>
  <c r="AD184" i="24" s="1"/>
  <c r="AB140" i="24"/>
  <c r="AC140" i="24" s="1"/>
  <c r="AD140" i="24" s="1"/>
  <c r="AB107" i="24"/>
  <c r="AC107" i="24" s="1"/>
  <c r="AD107" i="24" s="1"/>
  <c r="AB79" i="24"/>
  <c r="AC79" i="24" s="1"/>
  <c r="AD79" i="24" s="1"/>
  <c r="AB74" i="24"/>
  <c r="AC74" i="24" s="1"/>
  <c r="AD74" i="24" s="1"/>
  <c r="AB48" i="24"/>
  <c r="AC48" i="24" s="1"/>
  <c r="AD48" i="24" s="1"/>
  <c r="AB214" i="24"/>
  <c r="AC214" i="24" s="1"/>
  <c r="AD214" i="24" s="1"/>
  <c r="AB294" i="24"/>
  <c r="AC294" i="24" s="1"/>
  <c r="AD294" i="24" s="1"/>
  <c r="AB234" i="24"/>
  <c r="AC234" i="24" s="1"/>
  <c r="AD234" i="24" s="1"/>
  <c r="AB317" i="24"/>
  <c r="AC317" i="24" s="1"/>
  <c r="AD317" i="24" s="1"/>
  <c r="AB285" i="24"/>
  <c r="AC285" i="24" s="1"/>
  <c r="AD285" i="24" s="1"/>
  <c r="AB249" i="24"/>
  <c r="AC249" i="24" s="1"/>
  <c r="AD249" i="24" s="1"/>
  <c r="AB180" i="24"/>
  <c r="AC180" i="24" s="1"/>
  <c r="AD180" i="24" s="1"/>
  <c r="AB141" i="24"/>
  <c r="AC141" i="24" s="1"/>
  <c r="AD141" i="24" s="1"/>
  <c r="AB131" i="24"/>
  <c r="AC131" i="24" s="1"/>
  <c r="AD131" i="24" s="1"/>
  <c r="AB111" i="24"/>
  <c r="AC111" i="24" s="1"/>
  <c r="AD111" i="24" s="1"/>
  <c r="AB61" i="24"/>
  <c r="AC61" i="24" s="1"/>
  <c r="AD61" i="24" s="1"/>
  <c r="AB334" i="24"/>
  <c r="AC334" i="24" s="1"/>
  <c r="AD334" i="24" s="1"/>
  <c r="AB225" i="24"/>
  <c r="AC225" i="24" s="1"/>
  <c r="AD225" i="24" s="1"/>
  <c r="AB90" i="24"/>
  <c r="AC90" i="24" s="1"/>
  <c r="AD90" i="24" s="1"/>
  <c r="AB327" i="24"/>
  <c r="AC327" i="24" s="1"/>
  <c r="AD327" i="24" s="1"/>
  <c r="AB373" i="24"/>
  <c r="AC373" i="24" s="1"/>
  <c r="AD373" i="24" s="1"/>
  <c r="AB351" i="24"/>
  <c r="AC351" i="24" s="1"/>
  <c r="AD351" i="24" s="1"/>
  <c r="AB212" i="24"/>
  <c r="AB190" i="24"/>
  <c r="AC190" i="24" s="1"/>
  <c r="AD190" i="24" s="1"/>
  <c r="AB124" i="24"/>
  <c r="AC124" i="24" s="1"/>
  <c r="AD124" i="24" s="1"/>
  <c r="AB88" i="24"/>
  <c r="AC88" i="24" s="1"/>
  <c r="AD88" i="24" s="1"/>
  <c r="AB306" i="24"/>
  <c r="AB233" i="24"/>
  <c r="AC233" i="24" s="1"/>
  <c r="AD233" i="24" s="1"/>
  <c r="AB165" i="24"/>
  <c r="AB102" i="24"/>
  <c r="AC102" i="24" s="1"/>
  <c r="AD102" i="24" s="1"/>
  <c r="AB49" i="24"/>
  <c r="AC49" i="24" s="1"/>
  <c r="AD49" i="24" s="1"/>
  <c r="AB25" i="24"/>
  <c r="AC25" i="24" s="1"/>
  <c r="AD25" i="24" s="1"/>
  <c r="AB6" i="24"/>
  <c r="AC6" i="24" s="1"/>
  <c r="AD6" i="24" s="1"/>
  <c r="AB18" i="24"/>
  <c r="AC18" i="24" s="1"/>
  <c r="AD18" i="24" s="1"/>
  <c r="AB21" i="24"/>
  <c r="AB36" i="24"/>
  <c r="AC36" i="24" s="1"/>
  <c r="AD36" i="24" s="1"/>
  <c r="AB52" i="24"/>
  <c r="AC52" i="24" s="1"/>
  <c r="AD52" i="24" s="1"/>
  <c r="AB59" i="24"/>
  <c r="AC59" i="24" s="1"/>
  <c r="AD59" i="24" s="1"/>
  <c r="AB67" i="24"/>
  <c r="AC67" i="24" s="1"/>
  <c r="AD67" i="24" s="1"/>
  <c r="AB108" i="24"/>
  <c r="AC108" i="24" s="1"/>
  <c r="AD108" i="24" s="1"/>
  <c r="AB129" i="24"/>
  <c r="AC129" i="24" s="1"/>
  <c r="AD129" i="24" s="1"/>
  <c r="AB142" i="24"/>
  <c r="AC142" i="24" s="1"/>
  <c r="AD142" i="24" s="1"/>
  <c r="AB164" i="24"/>
  <c r="AC164" i="24" s="1"/>
  <c r="AD164" i="24" s="1"/>
  <c r="AB174" i="24"/>
  <c r="AC174" i="24" s="1"/>
  <c r="AD174" i="24" s="1"/>
  <c r="AB207" i="24"/>
  <c r="AC207" i="24" s="1"/>
  <c r="AD207" i="24" s="1"/>
  <c r="AB227" i="24"/>
  <c r="AC227" i="24" s="1"/>
  <c r="AD227" i="24" s="1"/>
  <c r="AB343" i="24"/>
  <c r="AC343" i="24" s="1"/>
  <c r="AD343" i="24" s="1"/>
  <c r="AB366" i="24"/>
  <c r="AC366" i="24" s="1"/>
  <c r="AD366" i="24" s="1"/>
  <c r="AB210" i="24"/>
  <c r="AC210" i="24" s="1"/>
  <c r="AD210" i="24" s="1"/>
  <c r="AB305" i="24"/>
  <c r="AC305" i="24" s="1"/>
  <c r="AD305" i="24" s="1"/>
  <c r="AB267" i="24"/>
  <c r="AC267" i="24" s="1"/>
  <c r="AD267" i="24" s="1"/>
  <c r="AB231" i="24"/>
  <c r="AC231" i="24" s="1"/>
  <c r="AD231" i="24" s="1"/>
  <c r="AB145" i="24"/>
  <c r="AC145" i="24" s="1"/>
  <c r="AD145" i="24" s="1"/>
  <c r="AB120" i="24"/>
  <c r="AC120" i="24" s="1"/>
  <c r="AD120" i="24" s="1"/>
  <c r="AB71" i="24"/>
  <c r="AC71" i="24" s="1"/>
  <c r="AD71" i="24" s="1"/>
  <c r="AB24" i="24"/>
  <c r="AC24" i="24" s="1"/>
  <c r="AD24" i="24" s="1"/>
  <c r="AB2" i="24"/>
  <c r="AC2" i="24" s="1"/>
  <c r="AD2" i="24" s="1"/>
  <c r="AB250" i="24"/>
  <c r="AC250" i="24" s="1"/>
  <c r="AD250" i="24" s="1"/>
  <c r="AB203" i="24"/>
  <c r="AC203" i="24" s="1"/>
  <c r="AD203" i="24" s="1"/>
  <c r="AB176" i="24"/>
  <c r="AC176" i="24" s="1"/>
  <c r="AD176" i="24" s="1"/>
  <c r="AB38" i="24"/>
  <c r="AC38" i="24" s="1"/>
  <c r="AD38" i="24" s="1"/>
  <c r="AB356" i="24"/>
  <c r="AC356" i="24" s="1"/>
  <c r="AD356" i="24" s="1"/>
  <c r="AB268" i="24"/>
  <c r="AC268" i="24" s="1"/>
  <c r="AD268" i="24" s="1"/>
  <c r="AB259" i="24"/>
  <c r="AC259" i="24" s="1"/>
  <c r="AD259" i="24" s="1"/>
  <c r="AB162" i="24"/>
  <c r="AB245" i="24"/>
  <c r="AC245" i="24" s="1"/>
  <c r="AD245" i="24" s="1"/>
  <c r="AB218" i="24"/>
  <c r="AC218" i="24" s="1"/>
  <c r="AD218" i="24" s="1"/>
  <c r="AB109" i="24"/>
  <c r="AC109" i="24" s="1"/>
  <c r="AD109" i="24" s="1"/>
  <c r="AB358" i="24"/>
  <c r="AC358" i="24" s="1"/>
  <c r="AD358" i="24" s="1"/>
  <c r="AB335" i="24"/>
  <c r="AC335" i="24" s="1"/>
  <c r="AD335" i="24" s="1"/>
  <c r="AB240" i="24"/>
  <c r="AB219" i="24"/>
  <c r="AB158" i="24"/>
  <c r="AC158" i="24" s="1"/>
  <c r="AD158" i="24" s="1"/>
  <c r="AB127" i="24"/>
  <c r="AC127" i="24" s="1"/>
  <c r="AD127" i="24" s="1"/>
  <c r="AB110" i="24"/>
  <c r="AC110" i="24" s="1"/>
  <c r="AD110" i="24" s="1"/>
  <c r="AB309" i="24"/>
  <c r="AC309" i="24" s="1"/>
  <c r="AD309" i="24" s="1"/>
  <c r="AB89" i="24"/>
  <c r="AB51" i="24"/>
  <c r="AC51" i="24" s="1"/>
  <c r="AD51" i="24" s="1"/>
  <c r="AB14" i="24"/>
  <c r="AC14" i="24" s="1"/>
  <c r="AD14" i="24" s="1"/>
  <c r="AB177" i="24"/>
  <c r="AC177" i="24" s="1"/>
  <c r="AD177" i="24" s="1"/>
  <c r="AB39" i="24"/>
  <c r="AC39" i="24" s="1"/>
  <c r="AD39" i="24" s="1"/>
  <c r="AB171" i="24"/>
  <c r="AC171" i="24" s="1"/>
  <c r="AD171" i="24" s="1"/>
  <c r="AB198" i="24"/>
  <c r="AC198" i="24" s="1"/>
  <c r="AD198" i="24" s="1"/>
  <c r="AB287" i="24"/>
  <c r="AC287" i="24" s="1"/>
  <c r="AD287" i="24" s="1"/>
  <c r="AB313" i="24"/>
  <c r="AC313" i="24" s="1"/>
  <c r="AD313" i="24" s="1"/>
  <c r="AB19" i="24"/>
  <c r="AC19" i="24" s="1"/>
  <c r="AD19" i="24" s="1"/>
  <c r="AB139" i="24"/>
  <c r="AC139" i="24" s="1"/>
  <c r="AD139" i="24" s="1"/>
  <c r="AB332" i="24"/>
  <c r="AC332" i="24" s="1"/>
  <c r="AD332" i="24" s="1"/>
  <c r="AB266" i="24"/>
  <c r="AC266" i="24" s="1"/>
  <c r="AD266" i="24" s="1"/>
  <c r="AB206" i="24"/>
  <c r="AC206" i="24" s="1"/>
  <c r="AD206" i="24" s="1"/>
  <c r="AB353" i="24"/>
  <c r="AC353" i="24" s="1"/>
  <c r="AD353" i="24" s="1"/>
  <c r="AB307" i="24"/>
  <c r="AC307" i="24" s="1"/>
  <c r="AD307" i="24" s="1"/>
  <c r="AB247" i="24"/>
  <c r="AC247" i="24" s="1"/>
  <c r="AD247" i="24" s="1"/>
  <c r="AB98" i="24"/>
  <c r="AC98" i="24" s="1"/>
  <c r="AD98" i="24" s="1"/>
  <c r="AB23" i="24"/>
  <c r="AB322" i="24"/>
  <c r="AB137" i="24"/>
  <c r="AC137" i="24" s="1"/>
  <c r="AD137" i="24" s="1"/>
  <c r="AB276" i="24"/>
  <c r="AC276" i="24" s="1"/>
  <c r="AD276" i="24" s="1"/>
  <c r="AB156" i="24"/>
  <c r="AC156" i="24" s="1"/>
  <c r="AD156" i="24" s="1"/>
  <c r="AB66" i="24"/>
  <c r="AB3" i="24"/>
  <c r="AC3" i="24" s="1"/>
  <c r="AD3" i="24" s="1"/>
  <c r="AB314" i="24"/>
  <c r="AC314" i="24" s="1"/>
  <c r="AD314" i="24" s="1"/>
  <c r="AB272" i="24"/>
  <c r="AC272" i="24" s="1"/>
  <c r="AD272" i="24" s="1"/>
  <c r="AB279" i="24"/>
  <c r="AC279" i="24" s="1"/>
  <c r="AD279" i="24" s="1"/>
  <c r="AB264" i="24"/>
  <c r="AC264" i="24" s="1"/>
  <c r="AD264" i="24" s="1"/>
  <c r="AB135" i="24"/>
  <c r="AC135" i="24" s="1"/>
  <c r="AD135" i="24" s="1"/>
  <c r="AB35" i="24"/>
  <c r="AC35" i="24" s="1"/>
  <c r="AD35" i="24" s="1"/>
  <c r="AB346" i="24"/>
  <c r="AC346" i="24" s="1"/>
  <c r="AD346" i="24" s="1"/>
  <c r="AB295" i="24"/>
  <c r="AC295" i="24" s="1"/>
  <c r="AD295" i="24" s="1"/>
  <c r="AB221" i="24"/>
  <c r="AC221" i="24" s="1"/>
  <c r="AD221" i="24" s="1"/>
  <c r="AB195" i="24"/>
  <c r="AC195" i="24" s="1"/>
  <c r="AD195" i="24" s="1"/>
  <c r="AB181" i="24"/>
  <c r="AC181" i="24" s="1"/>
  <c r="AD181" i="24" s="1"/>
  <c r="AB172" i="24"/>
  <c r="AC172" i="24" s="1"/>
  <c r="AD172" i="24" s="1"/>
  <c r="AB20" i="24"/>
  <c r="AC20" i="24" s="1"/>
  <c r="AD20" i="24" s="1"/>
  <c r="AB372" i="24"/>
  <c r="AC372" i="24" s="1"/>
  <c r="AD372" i="24" s="1"/>
  <c r="AB239" i="24"/>
  <c r="AC239" i="24" s="1"/>
  <c r="AD239" i="24" s="1"/>
  <c r="AB53" i="24"/>
  <c r="AC53" i="24" s="1"/>
  <c r="AD53" i="24" s="1"/>
  <c r="AB333" i="24"/>
  <c r="AC333" i="24" s="1"/>
  <c r="AD333" i="24" s="1"/>
  <c r="AB324" i="24"/>
  <c r="AC324" i="24" s="1"/>
  <c r="AD324" i="24" s="1"/>
  <c r="AB290" i="24"/>
  <c r="AC290" i="24" s="1"/>
  <c r="AD290" i="24" s="1"/>
  <c r="AB186" i="24"/>
  <c r="AC186" i="24" s="1"/>
  <c r="AD186" i="24" s="1"/>
  <c r="AB329" i="24"/>
  <c r="AC329" i="24" s="1"/>
  <c r="AD329" i="24" s="1"/>
  <c r="AB244" i="24"/>
  <c r="AC244" i="24" s="1"/>
  <c r="AD244" i="24" s="1"/>
  <c r="AB113" i="24"/>
  <c r="AC113" i="24" s="1"/>
  <c r="AD113" i="24" s="1"/>
  <c r="AB138" i="24"/>
  <c r="AC138" i="24" s="1"/>
  <c r="AD138" i="24" s="1"/>
  <c r="AB45" i="24"/>
  <c r="AC45" i="24" s="1"/>
  <c r="AD45" i="24" s="1"/>
  <c r="AB31" i="24"/>
  <c r="AC31" i="24" s="1"/>
  <c r="AD31" i="24" s="1"/>
  <c r="AB352" i="24"/>
  <c r="AC352" i="24" s="1"/>
  <c r="AD352" i="24" s="1"/>
  <c r="AB338" i="24"/>
  <c r="AC338" i="24" s="1"/>
  <c r="AD338" i="24" s="1"/>
  <c r="AB362" i="24"/>
  <c r="AC362" i="24" s="1"/>
  <c r="AD362" i="24" s="1"/>
  <c r="AB201" i="24"/>
  <c r="AC201" i="24" s="1"/>
  <c r="AD201" i="24" s="1"/>
  <c r="AB159" i="24"/>
  <c r="AC159" i="24" s="1"/>
  <c r="AD159" i="24" s="1"/>
  <c r="AB63" i="24"/>
  <c r="AC63" i="24" s="1"/>
  <c r="AD63" i="24" s="1"/>
  <c r="AB55" i="24"/>
  <c r="AC55" i="24" s="1"/>
  <c r="AD55" i="24" s="1"/>
  <c r="AB256" i="24"/>
  <c r="AC256" i="24" s="1"/>
  <c r="AD256" i="24" s="1"/>
  <c r="AB134" i="24"/>
  <c r="AC134" i="24" s="1"/>
  <c r="AD134" i="24" s="1"/>
  <c r="AB104" i="24"/>
  <c r="AC104" i="24" s="1"/>
  <c r="AD104" i="24" s="1"/>
  <c r="AB80" i="24"/>
  <c r="AC80" i="24" s="1"/>
  <c r="AD80" i="24" s="1"/>
  <c r="AB326" i="24"/>
  <c r="AC326" i="24" s="1"/>
  <c r="AD326" i="24" s="1"/>
  <c r="AB274" i="24"/>
  <c r="AC274" i="24" s="1"/>
  <c r="AD274" i="24" s="1"/>
  <c r="AB182" i="24"/>
  <c r="AC182" i="24" s="1"/>
  <c r="AD182" i="24" s="1"/>
  <c r="AB30" i="24"/>
  <c r="AC30" i="24" s="1"/>
  <c r="AD30" i="24" s="1"/>
  <c r="AB273" i="24"/>
  <c r="AC273" i="24" s="1"/>
  <c r="AD273" i="24" s="1"/>
  <c r="AB254" i="24"/>
  <c r="AC254" i="24" s="1"/>
  <c r="AD254" i="24" s="1"/>
  <c r="AB229" i="24"/>
  <c r="AC229" i="24" s="1"/>
  <c r="AD229" i="24" s="1"/>
  <c r="AB299" i="24"/>
  <c r="AC299" i="24" s="1"/>
  <c r="AD299" i="24" s="1"/>
  <c r="AB280" i="24"/>
  <c r="AC280" i="24" s="1"/>
  <c r="AD280" i="24" s="1"/>
  <c r="AB208" i="24"/>
  <c r="AB114" i="24"/>
  <c r="AC114" i="24" s="1"/>
  <c r="AD114" i="24" s="1"/>
  <c r="AB69" i="24"/>
  <c r="AC69" i="24" s="1"/>
  <c r="AD69" i="24" s="1"/>
  <c r="AB337" i="24"/>
  <c r="AC337" i="24" s="1"/>
  <c r="AD337" i="24" s="1"/>
  <c r="AB128" i="24"/>
  <c r="AC128" i="24" s="1"/>
  <c r="AD128" i="24" s="1"/>
  <c r="AB81" i="24"/>
  <c r="AC81" i="24" s="1"/>
  <c r="AD81" i="24" s="1"/>
  <c r="AB46" i="24"/>
  <c r="AC46" i="24" s="1"/>
  <c r="AD46" i="24" s="1"/>
  <c r="AB28" i="24"/>
  <c r="AB359" i="24"/>
  <c r="AC359" i="24" s="1"/>
  <c r="AD359" i="24" s="1"/>
  <c r="AB187" i="24"/>
  <c r="AC187" i="24" s="1"/>
  <c r="AD187" i="24" s="1"/>
  <c r="AB155" i="24"/>
  <c r="AC155" i="24" s="1"/>
  <c r="AD155" i="24" s="1"/>
  <c r="AB367" i="24"/>
  <c r="AC367" i="24" s="1"/>
  <c r="AD367" i="24" s="1"/>
  <c r="AB284" i="24"/>
  <c r="AC284" i="24" s="1"/>
  <c r="AD284" i="24" s="1"/>
  <c r="AB261" i="24"/>
  <c r="AC261" i="24" s="1"/>
  <c r="AD261" i="24" s="1"/>
  <c r="AB13" i="24"/>
  <c r="AC13" i="24" s="1"/>
  <c r="AD13" i="24" s="1"/>
  <c r="AB209" i="24"/>
  <c r="AB188" i="24"/>
  <c r="AC188" i="24" s="1"/>
  <c r="AD188" i="24" s="1"/>
  <c r="AB146" i="24"/>
  <c r="AC146" i="24" s="1"/>
  <c r="AD146" i="24" s="1"/>
  <c r="AB70" i="24"/>
  <c r="AC70" i="24" s="1"/>
  <c r="AD70" i="24" s="1"/>
  <c r="AB316" i="24"/>
  <c r="AC316" i="24" s="1"/>
  <c r="AD316" i="24" s="1"/>
  <c r="AB292" i="24"/>
  <c r="AC292" i="24" s="1"/>
  <c r="AD292" i="24" s="1"/>
  <c r="AB168" i="24"/>
  <c r="AC168" i="24" s="1"/>
  <c r="AD168" i="24" s="1"/>
  <c r="AB92" i="24"/>
  <c r="AC92" i="24" s="1"/>
  <c r="AD92" i="24" s="1"/>
  <c r="AB7" i="24"/>
  <c r="AC7" i="24" s="1"/>
  <c r="AD7" i="24" s="1"/>
  <c r="AB42" i="24"/>
  <c r="AC42" i="24" s="1"/>
  <c r="AD42" i="24" s="1"/>
  <c r="AB50" i="24"/>
  <c r="AC50" i="24" s="1"/>
  <c r="AD50" i="24" s="1"/>
  <c r="AB62" i="24"/>
  <c r="AC62" i="24" s="1"/>
  <c r="AD62" i="24" s="1"/>
  <c r="AB77" i="24"/>
  <c r="AC77" i="24" s="1"/>
  <c r="AD77" i="24" s="1"/>
  <c r="AB85" i="24"/>
  <c r="AC85" i="24" s="1"/>
  <c r="AD85" i="24" s="1"/>
  <c r="AB94" i="24"/>
  <c r="AC94" i="24" s="1"/>
  <c r="AD94" i="24" s="1"/>
  <c r="AB101" i="24"/>
  <c r="AC101" i="24" s="1"/>
  <c r="AD101" i="24" s="1"/>
  <c r="AB118" i="24"/>
  <c r="AC118" i="24" s="1"/>
  <c r="AD118" i="24" s="1"/>
  <c r="AB126" i="24"/>
  <c r="AC126" i="24" s="1"/>
  <c r="AD126" i="24" s="1"/>
  <c r="AB136" i="24"/>
  <c r="AC136" i="24" s="1"/>
  <c r="AD136" i="24" s="1"/>
  <c r="AB161" i="24"/>
  <c r="AC161" i="24" s="1"/>
  <c r="AD161" i="24" s="1"/>
  <c r="AB175" i="24"/>
  <c r="AC175" i="24" s="1"/>
  <c r="AD175" i="24" s="1"/>
  <c r="AB183" i="24"/>
  <c r="AC183" i="24" s="1"/>
  <c r="AD183" i="24" s="1"/>
  <c r="AB228" i="24"/>
  <c r="AC228" i="24" s="1"/>
  <c r="AD228" i="24" s="1"/>
  <c r="AB263" i="24"/>
  <c r="AC263" i="24" s="1"/>
  <c r="AD263" i="24" s="1"/>
  <c r="AB312" i="24"/>
  <c r="AC312" i="24" s="1"/>
  <c r="AD312" i="24" s="1"/>
  <c r="AB320" i="24"/>
  <c r="AC320" i="24" s="1"/>
  <c r="AD320" i="24" s="1"/>
  <c r="AB342" i="24"/>
  <c r="AC342" i="24" s="1"/>
  <c r="AD342" i="24" s="1"/>
  <c r="AB355" i="24"/>
  <c r="AC355" i="24" s="1"/>
  <c r="AD355" i="24" s="1"/>
  <c r="AB350" i="24"/>
  <c r="AC350" i="24" s="1"/>
  <c r="AD350" i="24" s="1"/>
  <c r="AB328" i="24"/>
  <c r="AC328" i="24" s="1"/>
  <c r="AD328" i="24" s="1"/>
  <c r="AB360" i="24"/>
  <c r="AC360" i="24" s="1"/>
  <c r="AD360" i="24" s="1"/>
  <c r="AB341" i="24"/>
  <c r="AC341" i="24" s="1"/>
  <c r="AD341" i="24" s="1"/>
  <c r="AB364" i="24"/>
  <c r="AC364" i="24" s="1"/>
  <c r="AD364" i="24" s="1"/>
  <c r="AB325" i="24"/>
  <c r="AB5" i="24"/>
  <c r="AC5" i="24" s="1"/>
  <c r="AD5" i="24" s="1"/>
  <c r="AB11" i="24"/>
  <c r="AC11" i="24" s="1"/>
  <c r="AD11" i="24" s="1"/>
  <c r="AB29" i="24"/>
  <c r="AC29" i="24" s="1"/>
  <c r="AD29" i="24" s="1"/>
  <c r="AB57" i="24"/>
  <c r="AC57" i="24" s="1"/>
  <c r="AD57" i="24" s="1"/>
  <c r="AB83" i="24"/>
  <c r="AC83" i="24" s="1"/>
  <c r="AD83" i="24" s="1"/>
  <c r="AB93" i="24"/>
  <c r="AC93" i="24" s="1"/>
  <c r="AD93" i="24" s="1"/>
  <c r="AB105" i="24"/>
  <c r="AC105" i="24" s="1"/>
  <c r="AD105" i="24" s="1"/>
  <c r="AB153" i="24"/>
  <c r="AB166" i="24"/>
  <c r="AC166" i="24" s="1"/>
  <c r="AD166" i="24" s="1"/>
  <c r="AB216" i="24"/>
  <c r="AC216" i="24" s="1"/>
  <c r="AD216" i="24" s="1"/>
  <c r="AB222" i="24"/>
  <c r="AC222" i="24" s="1"/>
  <c r="AD222" i="24" s="1"/>
  <c r="AB230" i="24"/>
  <c r="AC230" i="24" s="1"/>
  <c r="AD230" i="24" s="1"/>
  <c r="AB236" i="24"/>
  <c r="AC236" i="24" s="1"/>
  <c r="AD236" i="24" s="1"/>
  <c r="AB238" i="24"/>
  <c r="AC238" i="24" s="1"/>
  <c r="AD238" i="24" s="1"/>
</calcChain>
</file>

<file path=xl/sharedStrings.xml><?xml version="1.0" encoding="utf-8"?>
<sst xmlns="http://schemas.openxmlformats.org/spreadsheetml/2006/main" count="2509" uniqueCount="324">
  <si>
    <t>Team</t>
  </si>
  <si>
    <t>Season</t>
  </si>
  <si>
    <t>Home Wins</t>
  </si>
  <si>
    <t>Home Draws</t>
  </si>
  <si>
    <t>Home Losses</t>
  </si>
  <si>
    <t>Home GD</t>
  </si>
  <si>
    <t>Away Wins</t>
  </si>
  <si>
    <t>Away Draws</t>
  </si>
  <si>
    <t>Away Losses</t>
  </si>
  <si>
    <t>Away GD</t>
  </si>
  <si>
    <t>Points</t>
  </si>
  <si>
    <t>Manchester Utd</t>
  </si>
  <si>
    <t>Aston Villa</t>
  </si>
  <si>
    <t>Norwich City</t>
  </si>
  <si>
    <t>Blackburn</t>
  </si>
  <si>
    <t>QPR</t>
  </si>
  <si>
    <t>Tottenham</t>
  </si>
  <si>
    <t>Liverpool</t>
  </si>
  <si>
    <t>Sheffield Weds</t>
  </si>
  <si>
    <t>Manchester City</t>
  </si>
  <si>
    <t>Arsenal</t>
  </si>
  <si>
    <t>Chelsea</t>
  </si>
  <si>
    <t>Wimbledon</t>
  </si>
  <si>
    <t>Everton</t>
  </si>
  <si>
    <t>Ipswich Town</t>
  </si>
  <si>
    <t>Sheffield Utd</t>
  </si>
  <si>
    <t>Coventry City</t>
  </si>
  <si>
    <t>Leeds United</t>
  </si>
  <si>
    <t>Southampton</t>
  </si>
  <si>
    <t>Crystal Palace</t>
  </si>
  <si>
    <t>Oldham Athletic</t>
  </si>
  <si>
    <t>Middlesbrough</t>
  </si>
  <si>
    <t>Nott'ham Forest</t>
  </si>
  <si>
    <t>Newcastle Utd</t>
  </si>
  <si>
    <t>West Ham</t>
  </si>
  <si>
    <t>Swindon Town</t>
  </si>
  <si>
    <t>Leicester City</t>
  </si>
  <si>
    <t>Bolton</t>
  </si>
  <si>
    <t>Derby County</t>
  </si>
  <si>
    <t>Sunderland</t>
  </si>
  <si>
    <t>Barnsley</t>
  </si>
  <si>
    <t>Charlton Ath</t>
  </si>
  <si>
    <t>Bradford City</t>
  </si>
  <si>
    <t>Watford</t>
  </si>
  <si>
    <t>Fulham</t>
  </si>
  <si>
    <t>Birmingham City</t>
  </si>
  <si>
    <t>West Brom</t>
  </si>
  <si>
    <t>Portsmouth</t>
  </si>
  <si>
    <t>Wolves</t>
  </si>
  <si>
    <t>Wigan Athletic</t>
  </si>
  <si>
    <t>Reading</t>
  </si>
  <si>
    <t>Stoke City</t>
  </si>
  <si>
    <t>Hull City</t>
  </si>
  <si>
    <t>Burnley</t>
  </si>
  <si>
    <t>Blackpool</t>
  </si>
  <si>
    <t>Swansea City</t>
  </si>
  <si>
    <t>Cardiff City</t>
  </si>
  <si>
    <t>Bournemouth</t>
  </si>
  <si>
    <t>Brighton</t>
  </si>
  <si>
    <t>Huddersfield</t>
  </si>
  <si>
    <t>Brentford</t>
  </si>
  <si>
    <t>Row Labels</t>
  </si>
  <si>
    <t>Grand Total</t>
  </si>
  <si>
    <t>Sum of Home Wins</t>
  </si>
  <si>
    <t>Sum of Home Draws</t>
  </si>
  <si>
    <t>Sum of Home Losses</t>
  </si>
  <si>
    <t>Sum of Home GD</t>
  </si>
  <si>
    <t>Sum of Away Wins</t>
  </si>
  <si>
    <t>Sum of Away Draws</t>
  </si>
  <si>
    <t>Sum of Away Losses</t>
  </si>
  <si>
    <t>Sum of Away GD</t>
  </si>
  <si>
    <t>Sum of Points</t>
  </si>
  <si>
    <t>(All)</t>
  </si>
  <si>
    <t>Pts</t>
  </si>
  <si>
    <t>Referee</t>
  </si>
  <si>
    <t>Home W</t>
  </si>
  <si>
    <t>HGD</t>
  </si>
  <si>
    <t>AGD</t>
  </si>
  <si>
    <t>Away W</t>
  </si>
  <si>
    <t>Home D</t>
  </si>
  <si>
    <t>Away D</t>
  </si>
  <si>
    <t>Home L</t>
  </si>
  <si>
    <t>Away L</t>
  </si>
  <si>
    <t>Pos</t>
  </si>
  <si>
    <t>Home Fouls</t>
  </si>
  <si>
    <t>Away Fouls</t>
  </si>
  <si>
    <t>Home Yellows</t>
  </si>
  <si>
    <t>Away Yellows</t>
  </si>
  <si>
    <t>Home Reds</t>
  </si>
  <si>
    <t>Away Reds</t>
  </si>
  <si>
    <t>M Riley</t>
  </si>
  <si>
    <t>H Webb</t>
  </si>
  <si>
    <t>A Marriner</t>
  </si>
  <si>
    <t>C Foy</t>
  </si>
  <si>
    <t>M Oliver</t>
  </si>
  <si>
    <t>L Probert</t>
  </si>
  <si>
    <t>M Dean</t>
  </si>
  <si>
    <t>C Kavanagh</t>
  </si>
  <si>
    <t>L Mason</t>
  </si>
  <si>
    <t>S Bennett</t>
  </si>
  <si>
    <t>P Dowd</t>
  </si>
  <si>
    <t>M Halsey</t>
  </si>
  <si>
    <t>J Moss</t>
  </si>
  <si>
    <t>S Attwell</t>
  </si>
  <si>
    <t>K Friend</t>
  </si>
  <si>
    <t>A Taylor</t>
  </si>
  <si>
    <t>M Clattenburg</t>
  </si>
  <si>
    <t>C Pawson</t>
  </si>
  <si>
    <t>M Jones</t>
  </si>
  <si>
    <t>P Walton</t>
  </si>
  <si>
    <t>A Wiley</t>
  </si>
  <si>
    <t>M Atkinson</t>
  </si>
  <si>
    <t>G Poll</t>
  </si>
  <si>
    <t>N Swarbrick</t>
  </si>
  <si>
    <t>R Styles</t>
  </si>
  <si>
    <t>P Tierney</t>
  </si>
  <si>
    <t>Home Foul</t>
  </si>
  <si>
    <t>Away Foul</t>
  </si>
  <si>
    <t>Home Red</t>
  </si>
  <si>
    <t>Away Red</t>
  </si>
  <si>
    <t>Home Yellow</t>
  </si>
  <si>
    <t>Away Yellow</t>
  </si>
  <si>
    <t>Home Team Advantage In The English Premier Leauge</t>
  </si>
  <si>
    <t>Nottingham Forest</t>
  </si>
  <si>
    <t>Pitch Length (m)</t>
  </si>
  <si>
    <t>Pitch Width (m)</t>
  </si>
  <si>
    <t>Brighton and Hove Albion</t>
  </si>
  <si>
    <t>Manchester United</t>
  </si>
  <si>
    <t>Newcastle United</t>
  </si>
  <si>
    <t>Tottenham Hotspur</t>
  </si>
  <si>
    <t>West Ham United</t>
  </si>
  <si>
    <t>Sheffield United</t>
  </si>
  <si>
    <t>Luton Town</t>
  </si>
  <si>
    <r>
      <t>Pitch Area (m</t>
    </r>
    <r>
      <rPr>
        <b/>
        <vertAlign val="superscript"/>
        <sz val="11"/>
        <color theme="1"/>
        <rFont val="Aptos Narrow"/>
        <family val="2"/>
        <scheme val="minor"/>
      </rPr>
      <t>2</t>
    </r>
    <r>
      <rPr>
        <b/>
        <sz val="11"/>
        <color theme="1"/>
        <rFont val="Aptos Narrow"/>
        <family val="2"/>
        <scheme val="minor"/>
      </rPr>
      <t>)</t>
    </r>
  </si>
  <si>
    <t>Home Team</t>
  </si>
  <si>
    <t>Away Team</t>
  </si>
  <si>
    <t>Away Goals</t>
  </si>
  <si>
    <t>Emirates</t>
  </si>
  <si>
    <t>Villa Park</t>
  </si>
  <si>
    <t>Vitality</t>
  </si>
  <si>
    <t>Community</t>
  </si>
  <si>
    <t>Amex</t>
  </si>
  <si>
    <t>Stamford Bridge</t>
  </si>
  <si>
    <t>Selhurst Park</t>
  </si>
  <si>
    <t>Goodison Park</t>
  </si>
  <si>
    <t>Craven Cottage</t>
  </si>
  <si>
    <t>Anfield</t>
  </si>
  <si>
    <t>Etihad</t>
  </si>
  <si>
    <t>Old Trafford</t>
  </si>
  <si>
    <t>St James Park</t>
  </si>
  <si>
    <t>City Ground</t>
  </si>
  <si>
    <t>London</t>
  </si>
  <si>
    <t>Molineux</t>
  </si>
  <si>
    <t>Turf Moor</t>
  </si>
  <si>
    <t>Kenilworth Road</t>
  </si>
  <si>
    <t>Bramall Lane</t>
  </si>
  <si>
    <t>Home Fans</t>
  </si>
  <si>
    <t>date</t>
  </si>
  <si>
    <t>stadium</t>
  </si>
  <si>
    <t>attendance</t>
  </si>
  <si>
    <t>Goals Home</t>
  </si>
  <si>
    <t>home_possessions</t>
  </si>
  <si>
    <t>away_possessions</t>
  </si>
  <si>
    <t>home_shots</t>
  </si>
  <si>
    <t>away_shots</t>
  </si>
  <si>
    <t>home_blocked</t>
  </si>
  <si>
    <t>away_blocked</t>
  </si>
  <si>
    <t>home_pass</t>
  </si>
  <si>
    <t>away_pass</t>
  </si>
  <si>
    <t>home_chances</t>
  </si>
  <si>
    <t>away_chances</t>
  </si>
  <si>
    <t>28th May 2023</t>
  </si>
  <si>
    <t>Emirates Stadium</t>
  </si>
  <si>
    <t>Wolverhampton Wanderers</t>
  </si>
  <si>
    <t>Gtech Community Stadium</t>
  </si>
  <si>
    <t>Elland Road</t>
  </si>
  <si>
    <t>The King Power Stadium</t>
  </si>
  <si>
    <t>St. Mary's Stadium</t>
  </si>
  <si>
    <t>25th May 2023</t>
  </si>
  <si>
    <t>24th May 2023</t>
  </si>
  <si>
    <t>Amex Stadium</t>
  </si>
  <si>
    <t>22nd May 2023</t>
  </si>
  <si>
    <t>St James' Park, Newcastle</t>
  </si>
  <si>
    <t>21st May 2023</t>
  </si>
  <si>
    <t>London Stadium</t>
  </si>
  <si>
    <t>Etihad Stadium</t>
  </si>
  <si>
    <t>20th May 2023</t>
  </si>
  <si>
    <t>Tottenham Hotspur Stadium</t>
  </si>
  <si>
    <t>Vitality Stadium</t>
  </si>
  <si>
    <t>The City Ground</t>
  </si>
  <si>
    <t>18th May 2023</t>
  </si>
  <si>
    <t>15th May 2023</t>
  </si>
  <si>
    <t>14th May 2023</t>
  </si>
  <si>
    <t>13th May 2023</t>
  </si>
  <si>
    <t>8th May 2023</t>
  </si>
  <si>
    <t>7th May 2023</t>
  </si>
  <si>
    <t>6th May 2023</t>
  </si>
  <si>
    <t>4th May 2023</t>
  </si>
  <si>
    <t>3rd May 2023</t>
  </si>
  <si>
    <t>2nd May 2023</t>
  </si>
  <si>
    <t>1st May 2023</t>
  </si>
  <si>
    <t>30th April 2023</t>
  </si>
  <si>
    <t>29th April 2023</t>
  </si>
  <si>
    <t>27th April 2023</t>
  </si>
  <si>
    <t>26th April 2023</t>
  </si>
  <si>
    <t>25th April 2023</t>
  </si>
  <si>
    <t>23rd April 2023</t>
  </si>
  <si>
    <t>22nd April 2023</t>
  </si>
  <si>
    <t>21st April 2023</t>
  </si>
  <si>
    <t>17th April 2023</t>
  </si>
  <si>
    <t>16th April 2023</t>
  </si>
  <si>
    <t>15th April 2023</t>
  </si>
  <si>
    <t>9th April 2023</t>
  </si>
  <si>
    <t>8th April 2023</t>
  </si>
  <si>
    <t>5th April 2023</t>
  </si>
  <si>
    <t>4th April 2023</t>
  </si>
  <si>
    <t>3rd April 2023</t>
  </si>
  <si>
    <t>2nd April 2023</t>
  </si>
  <si>
    <t>1st April 2023</t>
  </si>
  <si>
    <t>19th March 2023</t>
  </si>
  <si>
    <t>18th March 2023</t>
  </si>
  <si>
    <t>17th March 2023</t>
  </si>
  <si>
    <t>15th March 2023</t>
  </si>
  <si>
    <t>12th March 2023</t>
  </si>
  <si>
    <t>11th March 2023</t>
  </si>
  <si>
    <t>6th March 2023</t>
  </si>
  <si>
    <t>5th March 2023</t>
  </si>
  <si>
    <t>4th March 2023</t>
  </si>
  <si>
    <t>1st March 2023</t>
  </si>
  <si>
    <t>26th February 2023</t>
  </si>
  <si>
    <t>25th February 2023</t>
  </si>
  <si>
    <t>24th February 2023</t>
  </si>
  <si>
    <t>19th February 2023</t>
  </si>
  <si>
    <t>18th February 2023</t>
  </si>
  <si>
    <t>15th February 2023</t>
  </si>
  <si>
    <t>13th February 2023</t>
  </si>
  <si>
    <t>12th February 2023</t>
  </si>
  <si>
    <t>11th February 2023</t>
  </si>
  <si>
    <t>8th February 2023</t>
  </si>
  <si>
    <t>5th February 2023</t>
  </si>
  <si>
    <t>4th February 2023</t>
  </si>
  <si>
    <t>3rd February 2023</t>
  </si>
  <si>
    <t>23rd January 2023</t>
  </si>
  <si>
    <t>22nd January 2023</t>
  </si>
  <si>
    <t>21st January 2023</t>
  </si>
  <si>
    <t>19th January 2023</t>
  </si>
  <si>
    <t>18th January 2023</t>
  </si>
  <si>
    <t>15th January 2023</t>
  </si>
  <si>
    <t>14th January 2023</t>
  </si>
  <si>
    <t>13th January 2023</t>
  </si>
  <si>
    <t>12th January 2023</t>
  </si>
  <si>
    <t>5th January 2023</t>
  </si>
  <si>
    <t>4th January 2023</t>
  </si>
  <si>
    <t>3rd January 2023</t>
  </si>
  <si>
    <t>2nd January 2023</t>
  </si>
  <si>
    <t>1st January 2023</t>
  </si>
  <si>
    <t>31st December 2022</t>
  </si>
  <si>
    <t>30th December 2022</t>
  </si>
  <si>
    <t>28th December 2022</t>
  </si>
  <si>
    <t>27th December 2022</t>
  </si>
  <si>
    <t>26th December 2022</t>
  </si>
  <si>
    <t>13th November 2022</t>
  </si>
  <si>
    <t>12th November 2022</t>
  </si>
  <si>
    <t>6th November 2022</t>
  </si>
  <si>
    <t>5th November 2022</t>
  </si>
  <si>
    <t>30th October 2022</t>
  </si>
  <si>
    <t>29th October 2022</t>
  </si>
  <si>
    <t>24th October 2022</t>
  </si>
  <si>
    <t>23rd October 2022</t>
  </si>
  <si>
    <t>22nd October 2022</t>
  </si>
  <si>
    <t>20th October 2022</t>
  </si>
  <si>
    <t>19th October 2022</t>
  </si>
  <si>
    <t>18th October 2022</t>
  </si>
  <si>
    <t>16th October 2022</t>
  </si>
  <si>
    <t>15th October 2022</t>
  </si>
  <si>
    <t>14th October 2022</t>
  </si>
  <si>
    <t>10th October 2022</t>
  </si>
  <si>
    <t>9th October 2022</t>
  </si>
  <si>
    <t>8th October 2022</t>
  </si>
  <si>
    <t>3rd October 2022</t>
  </si>
  <si>
    <t>2nd October 2022</t>
  </si>
  <si>
    <t>1st October 2022</t>
  </si>
  <si>
    <t>18th September 2022</t>
  </si>
  <si>
    <t>17th September 2022</t>
  </si>
  <si>
    <t>16th September 2022</t>
  </si>
  <si>
    <t>4th September 2022</t>
  </si>
  <si>
    <t>3rd September 2022</t>
  </si>
  <si>
    <t>1st September 2022</t>
  </si>
  <si>
    <t>31st August 2022</t>
  </si>
  <si>
    <t>30th August 2022</t>
  </si>
  <si>
    <t>28th August 2022</t>
  </si>
  <si>
    <t>27th August 2022</t>
  </si>
  <si>
    <t>21st August 2022</t>
  </si>
  <si>
    <t>20th August 2022</t>
  </si>
  <si>
    <t>15th August 2022</t>
  </si>
  <si>
    <t>14th August 2022</t>
  </si>
  <si>
    <t>13th August 2022</t>
  </si>
  <si>
    <t>7th August 2022</t>
  </si>
  <si>
    <t>6th August 2022</t>
  </si>
  <si>
    <t>5th August 2022</t>
  </si>
  <si>
    <t>away_on target</t>
  </si>
  <si>
    <t>home_on target</t>
  </si>
  <si>
    <t>home_off target</t>
  </si>
  <si>
    <t>away_off target</t>
  </si>
  <si>
    <t>away_tackles %</t>
  </si>
  <si>
    <t>home_duels %</t>
  </si>
  <si>
    <t>away_duels %</t>
  </si>
  <si>
    <t>home_tackles %</t>
  </si>
  <si>
    <t>Brighton And Hove Albion</t>
  </si>
  <si>
    <t>St Mary's Stadium</t>
  </si>
  <si>
    <t>Max Home att.</t>
  </si>
  <si>
    <t>% Home Att</t>
  </si>
  <si>
    <t>Average of % Home Att</t>
  </si>
  <si>
    <t>Average of home_possessions</t>
  </si>
  <si>
    <t>Average of home_shots</t>
  </si>
  <si>
    <t>Average of home_tackles %</t>
  </si>
  <si>
    <t>Average of home_duels %</t>
  </si>
  <si>
    <t>Average of home_pass</t>
  </si>
  <si>
    <t>Corr Date</t>
  </si>
  <si>
    <t>Corrected att</t>
  </si>
  <si>
    <t>% Duels Won</t>
  </si>
  <si>
    <t>% Team Tackles Won</t>
  </si>
  <si>
    <t>% Passes Completed</t>
  </si>
  <si>
    <t>Fouls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</si>
</sst>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0;[Red]0"/>
    <numFmt numFmtId="165" formatCode="0.0"/>
  </numFmts>
  <fonts count="2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24"/>
      <color theme="1"/>
      <name val="Aptos Narrow"/>
      <family val="2"/>
      <scheme val="minor"/>
    </font>
    <font>
      <sz val="72"/>
      <color theme="1"/>
      <name val="Aptos Narrow"/>
      <family val="2"/>
      <scheme val="minor"/>
    </font>
    <font>
      <b/>
      <vertAlign val="superscript"/>
      <sz val="11"/>
      <color theme="1"/>
      <name val="Aptos Narrow"/>
      <family val="2"/>
      <scheme val="minor"/>
    </font>
    <font>
      <sz val="36"/>
      <color rgb="FF3366FF"/>
      <name val="Aptos Narrow"/>
      <family val="2"/>
    </font>
    <font>
      <sz val="36"/>
      <color rgb="FFFFCC00"/>
      <name val="Aptos Narrow"/>
      <family val="2"/>
    </font>
    <font>
      <sz val="36"/>
      <color rgb="FFFF0000"/>
      <name val="Aptos Narrow"/>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5">
    <xf numFmtId="0" fontId="0" fillId="0" borderId="0" xfId="0"/>
    <xf numFmtId="0" fontId="0" fillId="0" borderId="0" xfId="0" pivotButton="1"/>
    <xf numFmtId="0" fontId="0" fillId="0" borderId="0" xfId="0" applyAlignment="1">
      <alignment horizontal="left"/>
    </xf>
    <xf numFmtId="4" fontId="0" fillId="0" borderId="0" xfId="0" applyNumberFormat="1"/>
    <xf numFmtId="3" fontId="0" fillId="0" borderId="0" xfId="0" applyNumberFormat="1"/>
    <xf numFmtId="0" fontId="18" fillId="0" borderId="0" xfId="0" applyFont="1"/>
    <xf numFmtId="0" fontId="18" fillId="0" borderId="0" xfId="0" applyFont="1" applyAlignment="1">
      <alignment horizontal="center"/>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15" xfId="0" applyFont="1" applyBorder="1" applyAlignment="1">
      <alignment horizontal="center"/>
    </xf>
    <xf numFmtId="0" fontId="18" fillId="0" borderId="16" xfId="0" applyFont="1" applyBorder="1" applyAlignment="1">
      <alignment horizontal="center"/>
    </xf>
    <xf numFmtId="0" fontId="18" fillId="0" borderId="17" xfId="0" applyFont="1" applyBorder="1" applyAlignment="1">
      <alignment horizontal="center"/>
    </xf>
    <xf numFmtId="0" fontId="16" fillId="0" borderId="0" xfId="0" applyFont="1"/>
    <xf numFmtId="164" fontId="0" fillId="0" borderId="0" xfId="0" applyNumberFormat="1"/>
    <xf numFmtId="164" fontId="0" fillId="0" borderId="0" xfId="42" applyNumberFormat="1" applyFont="1"/>
    <xf numFmtId="165" fontId="0" fillId="0" borderId="0" xfId="0" applyNumberFormat="1"/>
    <xf numFmtId="14" fontId="0" fillId="0" borderId="0" xfId="0" applyNumberFormat="1"/>
    <xf numFmtId="14" fontId="0" fillId="0" borderId="0" xfId="0" applyNumberFormat="1" applyAlignment="1">
      <alignment vertical="center"/>
    </xf>
    <xf numFmtId="165" fontId="0" fillId="0" borderId="0" xfId="0" applyNumberFormat="1" applyAlignment="1">
      <alignment horizontal="left"/>
    </xf>
    <xf numFmtId="1" fontId="0" fillId="0" borderId="0" xfId="0" applyNumberFormat="1"/>
    <xf numFmtId="0" fontId="19" fillId="0" borderId="0" xfId="0" applyFont="1" applyAlignment="1">
      <alignment horizontal="center" vertic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3" formatCode="#,##0"/>
    </dxf>
    <dxf>
      <numFmt numFmtId="4" formatCode="#,##0.00"/>
    </dxf>
    <dxf>
      <font>
        <sz val="18"/>
        <color theme="1"/>
      </font>
      <border>
        <bottom style="thin">
          <color theme="7"/>
        </bottom>
        <vertical/>
        <horizontal/>
      </border>
    </dxf>
    <dxf>
      <font>
        <color theme="1"/>
      </font>
      <border>
        <left style="thin">
          <color theme="7"/>
        </left>
        <right style="thin">
          <color theme="7"/>
        </right>
        <top style="thin">
          <color theme="7"/>
        </top>
        <bottom style="thin">
          <color theme="7"/>
        </bottom>
        <vertical/>
        <horizontal/>
      </border>
    </dxf>
    <dxf>
      <font>
        <sz val="28"/>
        <color theme="1"/>
      </font>
      <border>
        <bottom style="thin">
          <color theme="7"/>
        </bottom>
        <vertical/>
        <horizontal/>
      </border>
    </dxf>
    <dxf>
      <font>
        <sz val="26"/>
        <color theme="1"/>
      </font>
      <border>
        <left style="thin">
          <color theme="7"/>
        </left>
        <right style="thin">
          <color theme="7"/>
        </right>
        <top style="thin">
          <color theme="7"/>
        </top>
        <bottom style="thin">
          <color theme="7"/>
        </bottom>
        <vertical/>
        <horizontal/>
      </border>
    </dxf>
  </dxfs>
  <tableStyles count="2" defaultTableStyle="TableStyleMedium2" defaultPivotStyle="PivotStyleLight16">
    <tableStyle name="Custom" pivot="0" table="0" count="10" xr9:uid="{B0AAF22F-8297-4660-99B4-F37DA4FE5E4F}">
      <tableStyleElement type="wholeTable" dxfId="5"/>
      <tableStyleElement type="headerRow" dxfId="4"/>
    </tableStyle>
    <tableStyle name="SlicerStyleDark4 2" pivot="0" table="0" count="10" xr9:uid="{5F05B749-79E3-4DF0-AC01-81D51CCE40B7}">
      <tableStyleElement type="wholeTable" dxfId="3"/>
      <tableStyleElement type="headerRow" dxfId="2"/>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Custom">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[Figures_tableau.xlsm]Home and Away Results!PivotTable1</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Match Outcome %</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788106132319981E-2"/>
          <c:y val="0.17490927653862143"/>
          <c:w val="0.85045338082662347"/>
          <c:h val="0.62462447313208624"/>
        </c:manualLayout>
      </c:layout>
      <c:barChart>
        <c:barDir val="col"/>
        <c:grouping val="percentStacked"/>
        <c:varyColors val="0"/>
        <c:ser>
          <c:idx val="0"/>
          <c:order val="0"/>
          <c:tx>
            <c:strRef>
              <c:f>'Home and Away Results'!$B$3</c:f>
              <c:strCache>
                <c:ptCount val="1"/>
                <c:pt idx="0">
                  <c:v>Home W</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Results'!$B$4:$B$24</c:f>
              <c:numCache>
                <c:formatCode>General</c:formatCode>
                <c:ptCount val="20"/>
                <c:pt idx="0">
                  <c:v>17</c:v>
                </c:pt>
                <c:pt idx="1">
                  <c:v>15</c:v>
                </c:pt>
                <c:pt idx="2">
                  <c:v>14</c:v>
                </c:pt>
                <c:pt idx="3">
                  <c:v>13</c:v>
                </c:pt>
                <c:pt idx="4">
                  <c:v>12</c:v>
                </c:pt>
                <c:pt idx="5">
                  <c:v>12</c:v>
                </c:pt>
                <c:pt idx="6">
                  <c:v>11</c:v>
                </c:pt>
                <c:pt idx="7">
                  <c:v>10</c:v>
                </c:pt>
                <c:pt idx="8">
                  <c:v>10</c:v>
                </c:pt>
                <c:pt idx="9">
                  <c:v>9</c:v>
                </c:pt>
                <c:pt idx="10">
                  <c:v>8</c:v>
                </c:pt>
                <c:pt idx="11">
                  <c:v>8</c:v>
                </c:pt>
                <c:pt idx="12">
                  <c:v>8</c:v>
                </c:pt>
                <c:pt idx="13">
                  <c:v>7</c:v>
                </c:pt>
                <c:pt idx="14">
                  <c:v>6</c:v>
                </c:pt>
                <c:pt idx="15">
                  <c:v>6</c:v>
                </c:pt>
                <c:pt idx="16">
                  <c:v>6</c:v>
                </c:pt>
                <c:pt idx="17">
                  <c:v>5</c:v>
                </c:pt>
                <c:pt idx="18">
                  <c:v>5</c:v>
                </c:pt>
                <c:pt idx="19">
                  <c:v>2</c:v>
                </c:pt>
              </c:numCache>
            </c:numRef>
          </c:val>
          <c:extLst>
            <c:ext xmlns:c16="http://schemas.microsoft.com/office/drawing/2014/chart" uri="{C3380CC4-5D6E-409C-BE32-E72D297353CC}">
              <c16:uniqueId val="{00000000-4842-4944-AA9D-C0F20BB3F829}"/>
            </c:ext>
          </c:extLst>
        </c:ser>
        <c:ser>
          <c:idx val="1"/>
          <c:order val="1"/>
          <c:tx>
            <c:strRef>
              <c:f>'Home and Away Results'!$C$3</c:f>
              <c:strCache>
                <c:ptCount val="1"/>
                <c:pt idx="0">
                  <c:v>Away 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Results'!$C$4:$C$24</c:f>
              <c:numCache>
                <c:formatCode>General</c:formatCode>
                <c:ptCount val="20"/>
                <c:pt idx="0">
                  <c:v>11</c:v>
                </c:pt>
                <c:pt idx="1">
                  <c:v>8</c:v>
                </c:pt>
                <c:pt idx="2">
                  <c:v>12</c:v>
                </c:pt>
                <c:pt idx="3">
                  <c:v>6</c:v>
                </c:pt>
                <c:pt idx="4">
                  <c:v>6</c:v>
                </c:pt>
                <c:pt idx="5">
                  <c:v>6</c:v>
                </c:pt>
                <c:pt idx="6">
                  <c:v>8</c:v>
                </c:pt>
                <c:pt idx="7">
                  <c:v>8</c:v>
                </c:pt>
                <c:pt idx="8">
                  <c:v>5</c:v>
                </c:pt>
                <c:pt idx="9">
                  <c:v>2</c:v>
                </c:pt>
                <c:pt idx="10">
                  <c:v>3</c:v>
                </c:pt>
                <c:pt idx="11">
                  <c:v>1</c:v>
                </c:pt>
                <c:pt idx="12">
                  <c:v>7</c:v>
                </c:pt>
                <c:pt idx="13">
                  <c:v>4</c:v>
                </c:pt>
                <c:pt idx="14">
                  <c:v>5</c:v>
                </c:pt>
                <c:pt idx="15">
                  <c:v>2</c:v>
                </c:pt>
                <c:pt idx="16">
                  <c:v>5</c:v>
                </c:pt>
                <c:pt idx="17">
                  <c:v>4</c:v>
                </c:pt>
                <c:pt idx="18">
                  <c:v>2</c:v>
                </c:pt>
                <c:pt idx="19">
                  <c:v>4</c:v>
                </c:pt>
              </c:numCache>
            </c:numRef>
          </c:val>
          <c:extLst>
            <c:ext xmlns:c16="http://schemas.microsoft.com/office/drawing/2014/chart" uri="{C3380CC4-5D6E-409C-BE32-E72D297353CC}">
              <c16:uniqueId val="{00000001-4842-4944-AA9D-C0F20BB3F829}"/>
            </c:ext>
          </c:extLst>
        </c:ser>
        <c:ser>
          <c:idx val="2"/>
          <c:order val="2"/>
          <c:tx>
            <c:strRef>
              <c:f>'Home and Away Results'!$D$3</c:f>
              <c:strCache>
                <c:ptCount val="1"/>
                <c:pt idx="0">
                  <c:v>Home 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Results'!$D$4:$D$24</c:f>
              <c:numCache>
                <c:formatCode>General</c:formatCode>
                <c:ptCount val="20"/>
                <c:pt idx="0">
                  <c:v>1</c:v>
                </c:pt>
                <c:pt idx="1">
                  <c:v>3</c:v>
                </c:pt>
                <c:pt idx="2">
                  <c:v>3</c:v>
                </c:pt>
                <c:pt idx="3">
                  <c:v>5</c:v>
                </c:pt>
                <c:pt idx="4">
                  <c:v>1</c:v>
                </c:pt>
                <c:pt idx="5">
                  <c:v>2</c:v>
                </c:pt>
                <c:pt idx="6">
                  <c:v>6</c:v>
                </c:pt>
                <c:pt idx="7">
                  <c:v>4</c:v>
                </c:pt>
                <c:pt idx="8">
                  <c:v>7</c:v>
                </c:pt>
                <c:pt idx="9">
                  <c:v>3</c:v>
                </c:pt>
                <c:pt idx="10">
                  <c:v>4</c:v>
                </c:pt>
                <c:pt idx="11">
                  <c:v>6</c:v>
                </c:pt>
                <c:pt idx="12">
                  <c:v>5</c:v>
                </c:pt>
                <c:pt idx="13">
                  <c:v>7</c:v>
                </c:pt>
                <c:pt idx="14">
                  <c:v>4</c:v>
                </c:pt>
                <c:pt idx="15">
                  <c:v>3</c:v>
                </c:pt>
                <c:pt idx="16">
                  <c:v>7</c:v>
                </c:pt>
                <c:pt idx="17">
                  <c:v>4</c:v>
                </c:pt>
                <c:pt idx="18">
                  <c:v>7</c:v>
                </c:pt>
                <c:pt idx="19">
                  <c:v>5</c:v>
                </c:pt>
              </c:numCache>
            </c:numRef>
          </c:val>
          <c:extLst>
            <c:ext xmlns:c16="http://schemas.microsoft.com/office/drawing/2014/chart" uri="{C3380CC4-5D6E-409C-BE32-E72D297353CC}">
              <c16:uniqueId val="{00000002-4842-4944-AA9D-C0F20BB3F829}"/>
            </c:ext>
          </c:extLst>
        </c:ser>
        <c:ser>
          <c:idx val="3"/>
          <c:order val="3"/>
          <c:tx>
            <c:strRef>
              <c:f>'Home and Away Results'!$E$3</c:f>
              <c:strCache>
                <c:ptCount val="1"/>
                <c:pt idx="0">
                  <c:v>Away 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Results'!$E$4:$E$24</c:f>
              <c:numCache>
                <c:formatCode>General</c:formatCode>
                <c:ptCount val="20"/>
                <c:pt idx="0">
                  <c:v>4</c:v>
                </c:pt>
                <c:pt idx="1">
                  <c:v>3</c:v>
                </c:pt>
                <c:pt idx="2">
                  <c:v>3</c:v>
                </c:pt>
                <c:pt idx="3">
                  <c:v>5</c:v>
                </c:pt>
                <c:pt idx="4">
                  <c:v>5</c:v>
                </c:pt>
                <c:pt idx="5">
                  <c:v>5</c:v>
                </c:pt>
                <c:pt idx="6">
                  <c:v>8</c:v>
                </c:pt>
                <c:pt idx="7">
                  <c:v>4</c:v>
                </c:pt>
                <c:pt idx="8">
                  <c:v>7</c:v>
                </c:pt>
                <c:pt idx="9">
                  <c:v>5</c:v>
                </c:pt>
                <c:pt idx="10">
                  <c:v>3</c:v>
                </c:pt>
                <c:pt idx="11">
                  <c:v>5</c:v>
                </c:pt>
                <c:pt idx="12">
                  <c:v>2</c:v>
                </c:pt>
                <c:pt idx="13">
                  <c:v>5</c:v>
                </c:pt>
                <c:pt idx="14">
                  <c:v>2</c:v>
                </c:pt>
                <c:pt idx="15">
                  <c:v>9</c:v>
                </c:pt>
                <c:pt idx="16">
                  <c:v>4</c:v>
                </c:pt>
                <c:pt idx="17">
                  <c:v>3</c:v>
                </c:pt>
                <c:pt idx="18">
                  <c:v>3</c:v>
                </c:pt>
                <c:pt idx="19">
                  <c:v>2</c:v>
                </c:pt>
              </c:numCache>
            </c:numRef>
          </c:val>
          <c:extLst>
            <c:ext xmlns:c16="http://schemas.microsoft.com/office/drawing/2014/chart" uri="{C3380CC4-5D6E-409C-BE32-E72D297353CC}">
              <c16:uniqueId val="{00000003-4842-4944-AA9D-C0F20BB3F829}"/>
            </c:ext>
          </c:extLst>
        </c:ser>
        <c:ser>
          <c:idx val="4"/>
          <c:order val="4"/>
          <c:tx>
            <c:strRef>
              <c:f>'Home and Away Results'!$F$3</c:f>
              <c:strCache>
                <c:ptCount val="1"/>
                <c:pt idx="0">
                  <c:v>Home 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Results'!$F$4:$F$24</c:f>
              <c:numCache>
                <c:formatCode>General</c:formatCode>
                <c:ptCount val="20"/>
                <c:pt idx="0">
                  <c:v>1</c:v>
                </c:pt>
                <c:pt idx="1">
                  <c:v>1</c:v>
                </c:pt>
                <c:pt idx="2">
                  <c:v>2</c:v>
                </c:pt>
                <c:pt idx="3">
                  <c:v>1</c:v>
                </c:pt>
                <c:pt idx="4">
                  <c:v>6</c:v>
                </c:pt>
                <c:pt idx="5">
                  <c:v>5</c:v>
                </c:pt>
                <c:pt idx="6">
                  <c:v>2</c:v>
                </c:pt>
                <c:pt idx="7">
                  <c:v>5</c:v>
                </c:pt>
                <c:pt idx="8">
                  <c:v>2</c:v>
                </c:pt>
                <c:pt idx="9">
                  <c:v>7</c:v>
                </c:pt>
                <c:pt idx="10">
                  <c:v>7</c:v>
                </c:pt>
                <c:pt idx="11">
                  <c:v>5</c:v>
                </c:pt>
                <c:pt idx="12">
                  <c:v>6</c:v>
                </c:pt>
                <c:pt idx="13">
                  <c:v>5</c:v>
                </c:pt>
                <c:pt idx="14">
                  <c:v>9</c:v>
                </c:pt>
                <c:pt idx="15">
                  <c:v>10</c:v>
                </c:pt>
                <c:pt idx="16">
                  <c:v>6</c:v>
                </c:pt>
                <c:pt idx="17">
                  <c:v>10</c:v>
                </c:pt>
                <c:pt idx="18">
                  <c:v>7</c:v>
                </c:pt>
                <c:pt idx="19">
                  <c:v>12</c:v>
                </c:pt>
              </c:numCache>
            </c:numRef>
          </c:val>
          <c:extLst>
            <c:ext xmlns:c16="http://schemas.microsoft.com/office/drawing/2014/chart" uri="{C3380CC4-5D6E-409C-BE32-E72D297353CC}">
              <c16:uniqueId val="{00000004-4842-4944-AA9D-C0F20BB3F829}"/>
            </c:ext>
          </c:extLst>
        </c:ser>
        <c:ser>
          <c:idx val="5"/>
          <c:order val="5"/>
          <c:tx>
            <c:strRef>
              <c:f>'Home and Away Results'!$G$3</c:f>
              <c:strCache>
                <c:ptCount val="1"/>
                <c:pt idx="0">
                  <c:v>Away 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Results'!$G$4:$G$24</c:f>
              <c:numCache>
                <c:formatCode>General</c:formatCode>
                <c:ptCount val="20"/>
                <c:pt idx="0">
                  <c:v>4</c:v>
                </c:pt>
                <c:pt idx="1">
                  <c:v>8</c:v>
                </c:pt>
                <c:pt idx="2">
                  <c:v>4</c:v>
                </c:pt>
                <c:pt idx="3">
                  <c:v>8</c:v>
                </c:pt>
                <c:pt idx="4">
                  <c:v>8</c:v>
                </c:pt>
                <c:pt idx="5">
                  <c:v>8</c:v>
                </c:pt>
                <c:pt idx="6">
                  <c:v>3</c:v>
                </c:pt>
                <c:pt idx="7">
                  <c:v>7</c:v>
                </c:pt>
                <c:pt idx="8">
                  <c:v>7</c:v>
                </c:pt>
                <c:pt idx="9">
                  <c:v>12</c:v>
                </c:pt>
                <c:pt idx="10">
                  <c:v>13</c:v>
                </c:pt>
                <c:pt idx="11">
                  <c:v>13</c:v>
                </c:pt>
                <c:pt idx="12">
                  <c:v>10</c:v>
                </c:pt>
                <c:pt idx="13">
                  <c:v>10</c:v>
                </c:pt>
                <c:pt idx="14">
                  <c:v>12</c:v>
                </c:pt>
                <c:pt idx="15">
                  <c:v>8</c:v>
                </c:pt>
                <c:pt idx="16">
                  <c:v>10</c:v>
                </c:pt>
                <c:pt idx="17">
                  <c:v>12</c:v>
                </c:pt>
                <c:pt idx="18">
                  <c:v>14</c:v>
                </c:pt>
                <c:pt idx="19">
                  <c:v>13</c:v>
                </c:pt>
              </c:numCache>
            </c:numRef>
          </c:val>
          <c:extLst>
            <c:ext xmlns:c16="http://schemas.microsoft.com/office/drawing/2014/chart" uri="{C3380CC4-5D6E-409C-BE32-E72D297353CC}">
              <c16:uniqueId val="{00000005-4842-4944-AA9D-C0F20BB3F829}"/>
            </c:ext>
          </c:extLst>
        </c:ser>
        <c:dLbls>
          <c:showLegendKey val="0"/>
          <c:showVal val="0"/>
          <c:showCatName val="0"/>
          <c:showSerName val="0"/>
          <c:showPercent val="0"/>
          <c:showBubbleSize val="0"/>
        </c:dLbls>
        <c:gapWidth val="150"/>
        <c:overlap val="100"/>
        <c:axId val="1088981935"/>
        <c:axId val="1088992975"/>
      </c:barChart>
      <c:catAx>
        <c:axId val="10889819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992975"/>
        <c:crosses val="autoZero"/>
        <c:auto val="1"/>
        <c:lblAlgn val="ctr"/>
        <c:lblOffset val="100"/>
        <c:noMultiLvlLbl val="0"/>
      </c:catAx>
      <c:valAx>
        <c:axId val="1088992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981935"/>
        <c:crosses val="autoZero"/>
        <c:crossBetween val="between"/>
      </c:valAx>
      <c:spPr>
        <a:noFill/>
        <a:ln>
          <a:noFill/>
        </a:ln>
        <a:effectLst/>
      </c:spPr>
    </c:plotArea>
    <c:legend>
      <c:legendPos val="r"/>
      <c:layout>
        <c:manualLayout>
          <c:xMode val="edge"/>
          <c:yMode val="edge"/>
          <c:x val="0.89567321426065349"/>
          <c:y val="0.17826472346028902"/>
          <c:w val="9.5702595360683568E-2"/>
          <c:h val="0.635788546370707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[Figures_tableau.xlsm]Home and Away Results!PivotTable1</c:name>
    <c:fmtId val="19"/>
  </c:pivotSource>
  <c:chart>
    <c:title>
      <c:tx>
        <c:rich>
          <a:bodyPr rot="0" spcFirstLastPara="1" vertOverflow="ellipsis" vert="horz" wrap="square" anchor="ctr" anchorCtr="1"/>
          <a:lstStyle/>
          <a:p>
            <a:pPr>
              <a:defRPr sz="4000" b="1" i="0" u="none" strike="noStrike" kern="1200" cap="all" spc="50" baseline="0">
                <a:solidFill>
                  <a:schemeClr val="tx1">
                    <a:lumMod val="65000"/>
                    <a:lumOff val="35000"/>
                  </a:schemeClr>
                </a:solidFill>
                <a:latin typeface="+mn-lt"/>
                <a:ea typeface="+mn-ea"/>
                <a:cs typeface="+mn-cs"/>
              </a:defRPr>
            </a:pPr>
            <a:r>
              <a:rPr lang="en-US" sz="4000"/>
              <a:t>Match Outcome %</a:t>
            </a:r>
          </a:p>
        </c:rich>
      </c:tx>
      <c:layout>
        <c:manualLayout>
          <c:xMode val="edge"/>
          <c:yMode val="edge"/>
          <c:x val="0.42653776671567484"/>
          <c:y val="2.9018217291963872E-2"/>
        </c:manualLayout>
      </c:layout>
      <c:overlay val="1"/>
      <c:spPr>
        <a:noFill/>
        <a:ln>
          <a:noFill/>
        </a:ln>
        <a:effectLst/>
      </c:spPr>
      <c:txPr>
        <a:bodyPr rot="0" spcFirstLastPara="1" vertOverflow="ellipsis" vert="horz" wrap="square" anchor="ctr" anchorCtr="1"/>
        <a:lstStyle/>
        <a:p>
          <a:pPr>
            <a:defRPr sz="40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82630177816538E-2"/>
          <c:y val="0.10946165378700863"/>
          <c:w val="0.84686462771673332"/>
          <c:h val="0.60505466874180402"/>
        </c:manualLayout>
      </c:layout>
      <c:barChart>
        <c:barDir val="col"/>
        <c:grouping val="percentStacked"/>
        <c:varyColors val="0"/>
        <c:ser>
          <c:idx val="0"/>
          <c:order val="0"/>
          <c:tx>
            <c:strRef>
              <c:f>'Home and Away Results'!$B$3</c:f>
              <c:strCache>
                <c:ptCount val="1"/>
                <c:pt idx="0">
                  <c:v>Home W</c:v>
                </c:pt>
              </c:strCache>
            </c:strRef>
          </c:tx>
          <c:spPr>
            <a:solidFill>
              <a:schemeClr val="accent1">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Results'!$B$4:$B$24</c:f>
              <c:numCache>
                <c:formatCode>General</c:formatCode>
                <c:ptCount val="20"/>
                <c:pt idx="0">
                  <c:v>17</c:v>
                </c:pt>
                <c:pt idx="1">
                  <c:v>15</c:v>
                </c:pt>
                <c:pt idx="2">
                  <c:v>14</c:v>
                </c:pt>
                <c:pt idx="3">
                  <c:v>13</c:v>
                </c:pt>
                <c:pt idx="4">
                  <c:v>12</c:v>
                </c:pt>
                <c:pt idx="5">
                  <c:v>12</c:v>
                </c:pt>
                <c:pt idx="6">
                  <c:v>11</c:v>
                </c:pt>
                <c:pt idx="7">
                  <c:v>10</c:v>
                </c:pt>
                <c:pt idx="8">
                  <c:v>10</c:v>
                </c:pt>
                <c:pt idx="9">
                  <c:v>9</c:v>
                </c:pt>
                <c:pt idx="10">
                  <c:v>8</c:v>
                </c:pt>
                <c:pt idx="11">
                  <c:v>8</c:v>
                </c:pt>
                <c:pt idx="12">
                  <c:v>8</c:v>
                </c:pt>
                <c:pt idx="13">
                  <c:v>7</c:v>
                </c:pt>
                <c:pt idx="14">
                  <c:v>6</c:v>
                </c:pt>
                <c:pt idx="15">
                  <c:v>6</c:v>
                </c:pt>
                <c:pt idx="16">
                  <c:v>6</c:v>
                </c:pt>
                <c:pt idx="17">
                  <c:v>5</c:v>
                </c:pt>
                <c:pt idx="18">
                  <c:v>5</c:v>
                </c:pt>
                <c:pt idx="19">
                  <c:v>2</c:v>
                </c:pt>
              </c:numCache>
            </c:numRef>
          </c:val>
          <c:extLst>
            <c:ext xmlns:c16="http://schemas.microsoft.com/office/drawing/2014/chart" uri="{C3380CC4-5D6E-409C-BE32-E72D297353CC}">
              <c16:uniqueId val="{00000000-BA0B-4F24-9084-FCE572C7061A}"/>
            </c:ext>
          </c:extLst>
        </c:ser>
        <c:ser>
          <c:idx val="1"/>
          <c:order val="1"/>
          <c:tx>
            <c:strRef>
              <c:f>'Home and Away Results'!$C$3</c:f>
              <c:strCache>
                <c:ptCount val="1"/>
                <c:pt idx="0">
                  <c:v>Away W</c:v>
                </c:pt>
              </c:strCache>
            </c:strRef>
          </c:tx>
          <c:spPr>
            <a:solidFill>
              <a:schemeClr val="accent2">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Results'!$C$4:$C$24</c:f>
              <c:numCache>
                <c:formatCode>General</c:formatCode>
                <c:ptCount val="20"/>
                <c:pt idx="0">
                  <c:v>11</c:v>
                </c:pt>
                <c:pt idx="1">
                  <c:v>8</c:v>
                </c:pt>
                <c:pt idx="2">
                  <c:v>12</c:v>
                </c:pt>
                <c:pt idx="3">
                  <c:v>6</c:v>
                </c:pt>
                <c:pt idx="4">
                  <c:v>6</c:v>
                </c:pt>
                <c:pt idx="5">
                  <c:v>6</c:v>
                </c:pt>
                <c:pt idx="6">
                  <c:v>8</c:v>
                </c:pt>
                <c:pt idx="7">
                  <c:v>8</c:v>
                </c:pt>
                <c:pt idx="8">
                  <c:v>5</c:v>
                </c:pt>
                <c:pt idx="9">
                  <c:v>2</c:v>
                </c:pt>
                <c:pt idx="10">
                  <c:v>3</c:v>
                </c:pt>
                <c:pt idx="11">
                  <c:v>1</c:v>
                </c:pt>
                <c:pt idx="12">
                  <c:v>7</c:v>
                </c:pt>
                <c:pt idx="13">
                  <c:v>4</c:v>
                </c:pt>
                <c:pt idx="14">
                  <c:v>5</c:v>
                </c:pt>
                <c:pt idx="15">
                  <c:v>2</c:v>
                </c:pt>
                <c:pt idx="16">
                  <c:v>5</c:v>
                </c:pt>
                <c:pt idx="17">
                  <c:v>4</c:v>
                </c:pt>
                <c:pt idx="18">
                  <c:v>2</c:v>
                </c:pt>
                <c:pt idx="19">
                  <c:v>4</c:v>
                </c:pt>
              </c:numCache>
            </c:numRef>
          </c:val>
          <c:extLst>
            <c:ext xmlns:c16="http://schemas.microsoft.com/office/drawing/2014/chart" uri="{C3380CC4-5D6E-409C-BE32-E72D297353CC}">
              <c16:uniqueId val="{00000001-BA0B-4F24-9084-FCE572C7061A}"/>
            </c:ext>
          </c:extLst>
        </c:ser>
        <c:ser>
          <c:idx val="2"/>
          <c:order val="2"/>
          <c:tx>
            <c:strRef>
              <c:f>'Home and Away Results'!$D$3</c:f>
              <c:strCache>
                <c:ptCount val="1"/>
                <c:pt idx="0">
                  <c:v>Home D</c:v>
                </c:pt>
              </c:strCache>
            </c:strRef>
          </c:tx>
          <c:spPr>
            <a:solidFill>
              <a:schemeClr val="accent3">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Results'!$D$4:$D$24</c:f>
              <c:numCache>
                <c:formatCode>General</c:formatCode>
                <c:ptCount val="20"/>
                <c:pt idx="0">
                  <c:v>1</c:v>
                </c:pt>
                <c:pt idx="1">
                  <c:v>3</c:v>
                </c:pt>
                <c:pt idx="2">
                  <c:v>3</c:v>
                </c:pt>
                <c:pt idx="3">
                  <c:v>5</c:v>
                </c:pt>
                <c:pt idx="4">
                  <c:v>1</c:v>
                </c:pt>
                <c:pt idx="5">
                  <c:v>2</c:v>
                </c:pt>
                <c:pt idx="6">
                  <c:v>6</c:v>
                </c:pt>
                <c:pt idx="7">
                  <c:v>4</c:v>
                </c:pt>
                <c:pt idx="8">
                  <c:v>7</c:v>
                </c:pt>
                <c:pt idx="9">
                  <c:v>3</c:v>
                </c:pt>
                <c:pt idx="10">
                  <c:v>4</c:v>
                </c:pt>
                <c:pt idx="11">
                  <c:v>6</c:v>
                </c:pt>
                <c:pt idx="12">
                  <c:v>5</c:v>
                </c:pt>
                <c:pt idx="13">
                  <c:v>7</c:v>
                </c:pt>
                <c:pt idx="14">
                  <c:v>4</c:v>
                </c:pt>
                <c:pt idx="15">
                  <c:v>3</c:v>
                </c:pt>
                <c:pt idx="16">
                  <c:v>7</c:v>
                </c:pt>
                <c:pt idx="17">
                  <c:v>4</c:v>
                </c:pt>
                <c:pt idx="18">
                  <c:v>7</c:v>
                </c:pt>
                <c:pt idx="19">
                  <c:v>5</c:v>
                </c:pt>
              </c:numCache>
            </c:numRef>
          </c:val>
          <c:extLst>
            <c:ext xmlns:c16="http://schemas.microsoft.com/office/drawing/2014/chart" uri="{C3380CC4-5D6E-409C-BE32-E72D297353CC}">
              <c16:uniqueId val="{00000002-BA0B-4F24-9084-FCE572C7061A}"/>
            </c:ext>
          </c:extLst>
        </c:ser>
        <c:ser>
          <c:idx val="3"/>
          <c:order val="3"/>
          <c:tx>
            <c:strRef>
              <c:f>'Home and Away Results'!$E$3</c:f>
              <c:strCache>
                <c:ptCount val="1"/>
                <c:pt idx="0">
                  <c:v>Away D</c:v>
                </c:pt>
              </c:strCache>
            </c:strRef>
          </c:tx>
          <c:spPr>
            <a:solidFill>
              <a:schemeClr val="accent4">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Results'!$E$4:$E$24</c:f>
              <c:numCache>
                <c:formatCode>General</c:formatCode>
                <c:ptCount val="20"/>
                <c:pt idx="0">
                  <c:v>4</c:v>
                </c:pt>
                <c:pt idx="1">
                  <c:v>3</c:v>
                </c:pt>
                <c:pt idx="2">
                  <c:v>3</c:v>
                </c:pt>
                <c:pt idx="3">
                  <c:v>5</c:v>
                </c:pt>
                <c:pt idx="4">
                  <c:v>5</c:v>
                </c:pt>
                <c:pt idx="5">
                  <c:v>5</c:v>
                </c:pt>
                <c:pt idx="6">
                  <c:v>8</c:v>
                </c:pt>
                <c:pt idx="7">
                  <c:v>4</c:v>
                </c:pt>
                <c:pt idx="8">
                  <c:v>7</c:v>
                </c:pt>
                <c:pt idx="9">
                  <c:v>5</c:v>
                </c:pt>
                <c:pt idx="10">
                  <c:v>3</c:v>
                </c:pt>
                <c:pt idx="11">
                  <c:v>5</c:v>
                </c:pt>
                <c:pt idx="12">
                  <c:v>2</c:v>
                </c:pt>
                <c:pt idx="13">
                  <c:v>5</c:v>
                </c:pt>
                <c:pt idx="14">
                  <c:v>2</c:v>
                </c:pt>
                <c:pt idx="15">
                  <c:v>9</c:v>
                </c:pt>
                <c:pt idx="16">
                  <c:v>4</c:v>
                </c:pt>
                <c:pt idx="17">
                  <c:v>3</c:v>
                </c:pt>
                <c:pt idx="18">
                  <c:v>3</c:v>
                </c:pt>
                <c:pt idx="19">
                  <c:v>2</c:v>
                </c:pt>
              </c:numCache>
            </c:numRef>
          </c:val>
          <c:extLst>
            <c:ext xmlns:c16="http://schemas.microsoft.com/office/drawing/2014/chart" uri="{C3380CC4-5D6E-409C-BE32-E72D297353CC}">
              <c16:uniqueId val="{00000003-BA0B-4F24-9084-FCE572C7061A}"/>
            </c:ext>
          </c:extLst>
        </c:ser>
        <c:ser>
          <c:idx val="4"/>
          <c:order val="4"/>
          <c:tx>
            <c:strRef>
              <c:f>'Home and Away Results'!$F$3</c:f>
              <c:strCache>
                <c:ptCount val="1"/>
                <c:pt idx="0">
                  <c:v>Home L</c:v>
                </c:pt>
              </c:strCache>
            </c:strRef>
          </c:tx>
          <c:spPr>
            <a:solidFill>
              <a:schemeClr val="accent5">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Results'!$F$4:$F$24</c:f>
              <c:numCache>
                <c:formatCode>General</c:formatCode>
                <c:ptCount val="20"/>
                <c:pt idx="0">
                  <c:v>1</c:v>
                </c:pt>
                <c:pt idx="1">
                  <c:v>1</c:v>
                </c:pt>
                <c:pt idx="2">
                  <c:v>2</c:v>
                </c:pt>
                <c:pt idx="3">
                  <c:v>1</c:v>
                </c:pt>
                <c:pt idx="4">
                  <c:v>6</c:v>
                </c:pt>
                <c:pt idx="5">
                  <c:v>5</c:v>
                </c:pt>
                <c:pt idx="6">
                  <c:v>2</c:v>
                </c:pt>
                <c:pt idx="7">
                  <c:v>5</c:v>
                </c:pt>
                <c:pt idx="8">
                  <c:v>2</c:v>
                </c:pt>
                <c:pt idx="9">
                  <c:v>7</c:v>
                </c:pt>
                <c:pt idx="10">
                  <c:v>7</c:v>
                </c:pt>
                <c:pt idx="11">
                  <c:v>5</c:v>
                </c:pt>
                <c:pt idx="12">
                  <c:v>6</c:v>
                </c:pt>
                <c:pt idx="13">
                  <c:v>5</c:v>
                </c:pt>
                <c:pt idx="14">
                  <c:v>9</c:v>
                </c:pt>
                <c:pt idx="15">
                  <c:v>10</c:v>
                </c:pt>
                <c:pt idx="16">
                  <c:v>6</c:v>
                </c:pt>
                <c:pt idx="17">
                  <c:v>10</c:v>
                </c:pt>
                <c:pt idx="18">
                  <c:v>7</c:v>
                </c:pt>
                <c:pt idx="19">
                  <c:v>12</c:v>
                </c:pt>
              </c:numCache>
            </c:numRef>
          </c:val>
          <c:extLst>
            <c:ext xmlns:c16="http://schemas.microsoft.com/office/drawing/2014/chart" uri="{C3380CC4-5D6E-409C-BE32-E72D297353CC}">
              <c16:uniqueId val="{00000004-BA0B-4F24-9084-FCE572C7061A}"/>
            </c:ext>
          </c:extLst>
        </c:ser>
        <c:ser>
          <c:idx val="5"/>
          <c:order val="5"/>
          <c:tx>
            <c:strRef>
              <c:f>'Home and Away Results'!$G$3</c:f>
              <c:strCache>
                <c:ptCount val="1"/>
                <c:pt idx="0">
                  <c:v>Away L</c:v>
                </c:pt>
              </c:strCache>
            </c:strRef>
          </c:tx>
          <c:spPr>
            <a:solidFill>
              <a:schemeClr val="accent6">
                <a:alpha val="70000"/>
              </a:schemeClr>
            </a:solidFill>
            <a:ln>
              <a:noFill/>
            </a:ln>
            <a:effectLst/>
          </c:spPr>
          <c:invertIfNegative val="0"/>
          <c:cat>
            <c:strRef>
              <c:f>'Home and Away Results'!$A$4:$A$24</c:f>
              <c:strCache>
                <c:ptCount val="20"/>
                <c:pt idx="0">
                  <c:v>Manchester City</c:v>
                </c:pt>
                <c:pt idx="1">
                  <c:v>Manchester Utd</c:v>
                </c:pt>
                <c:pt idx="2">
                  <c:v>Arsenal</c:v>
                </c:pt>
                <c:pt idx="3">
                  <c:v>Liverpool</c:v>
                </c:pt>
                <c:pt idx="4">
                  <c:v>Tottenham</c:v>
                </c:pt>
                <c:pt idx="5">
                  <c:v>Aston Villa</c:v>
                </c:pt>
                <c:pt idx="6">
                  <c:v>Newcastle Utd</c:v>
                </c:pt>
                <c:pt idx="7">
                  <c:v>Brighton</c:v>
                </c:pt>
                <c:pt idx="8">
                  <c:v>Brentford</c:v>
                </c:pt>
                <c:pt idx="9">
                  <c:v>Wolves</c:v>
                </c:pt>
                <c:pt idx="10">
                  <c:v>West Ham</c:v>
                </c:pt>
                <c:pt idx="11">
                  <c:v>Nott'ham Forest</c:v>
                </c:pt>
                <c:pt idx="12">
                  <c:v>Fulham</c:v>
                </c:pt>
                <c:pt idx="13">
                  <c:v>Crystal Palace</c:v>
                </c:pt>
                <c:pt idx="14">
                  <c:v>Bournemouth</c:v>
                </c:pt>
                <c:pt idx="15">
                  <c:v>Everton</c:v>
                </c:pt>
                <c:pt idx="16">
                  <c:v>Chelsea</c:v>
                </c:pt>
                <c:pt idx="17">
                  <c:v>Leicester City</c:v>
                </c:pt>
                <c:pt idx="18">
                  <c:v>Leeds United</c:v>
                </c:pt>
                <c:pt idx="19">
                  <c:v>Southampton</c:v>
                </c:pt>
              </c:strCache>
            </c:strRef>
          </c:cat>
          <c:val>
            <c:numRef>
              <c:f>'Home and Away Results'!$G$4:$G$24</c:f>
              <c:numCache>
                <c:formatCode>General</c:formatCode>
                <c:ptCount val="20"/>
                <c:pt idx="0">
                  <c:v>4</c:v>
                </c:pt>
                <c:pt idx="1">
                  <c:v>8</c:v>
                </c:pt>
                <c:pt idx="2">
                  <c:v>4</c:v>
                </c:pt>
                <c:pt idx="3">
                  <c:v>8</c:v>
                </c:pt>
                <c:pt idx="4">
                  <c:v>8</c:v>
                </c:pt>
                <c:pt idx="5">
                  <c:v>8</c:v>
                </c:pt>
                <c:pt idx="6">
                  <c:v>3</c:v>
                </c:pt>
                <c:pt idx="7">
                  <c:v>7</c:v>
                </c:pt>
                <c:pt idx="8">
                  <c:v>7</c:v>
                </c:pt>
                <c:pt idx="9">
                  <c:v>12</c:v>
                </c:pt>
                <c:pt idx="10">
                  <c:v>13</c:v>
                </c:pt>
                <c:pt idx="11">
                  <c:v>13</c:v>
                </c:pt>
                <c:pt idx="12">
                  <c:v>10</c:v>
                </c:pt>
                <c:pt idx="13">
                  <c:v>10</c:v>
                </c:pt>
                <c:pt idx="14">
                  <c:v>12</c:v>
                </c:pt>
                <c:pt idx="15">
                  <c:v>8</c:v>
                </c:pt>
                <c:pt idx="16">
                  <c:v>10</c:v>
                </c:pt>
                <c:pt idx="17">
                  <c:v>12</c:v>
                </c:pt>
                <c:pt idx="18">
                  <c:v>14</c:v>
                </c:pt>
                <c:pt idx="19">
                  <c:v>13</c:v>
                </c:pt>
              </c:numCache>
            </c:numRef>
          </c:val>
          <c:extLst>
            <c:ext xmlns:c16="http://schemas.microsoft.com/office/drawing/2014/chart" uri="{C3380CC4-5D6E-409C-BE32-E72D297353CC}">
              <c16:uniqueId val="{00000005-BA0B-4F24-9084-FCE572C7061A}"/>
            </c:ext>
          </c:extLst>
        </c:ser>
        <c:dLbls>
          <c:showLegendKey val="0"/>
          <c:showVal val="0"/>
          <c:showCatName val="0"/>
          <c:showSerName val="0"/>
          <c:showPercent val="0"/>
          <c:showBubbleSize val="0"/>
        </c:dLbls>
        <c:gapWidth val="50"/>
        <c:overlap val="100"/>
        <c:axId val="1088981935"/>
        <c:axId val="1088992975"/>
      </c:barChart>
      <c:catAx>
        <c:axId val="1088981935"/>
        <c:scaling>
          <c:orientation val="minMax"/>
        </c:scaling>
        <c:delete val="0"/>
        <c:axPos val="b"/>
        <c:title>
          <c:tx>
            <c:rich>
              <a:bodyPr rot="0" spcFirstLastPara="1" vertOverflow="ellipsis" vert="horz" wrap="square" anchor="ctr" anchorCtr="1"/>
              <a:lstStyle/>
              <a:p>
                <a:pPr>
                  <a:defRPr sz="3200" b="0" i="0" u="none" strike="noStrike" kern="1200" cap="all" baseline="0">
                    <a:solidFill>
                      <a:schemeClr val="tx1">
                        <a:lumMod val="65000"/>
                        <a:lumOff val="35000"/>
                      </a:schemeClr>
                    </a:solidFill>
                    <a:latin typeface="+mn-lt"/>
                    <a:ea typeface="+mn-ea"/>
                    <a:cs typeface="+mn-cs"/>
                  </a:defRPr>
                </a:pPr>
                <a:r>
                  <a:rPr lang="en-US" sz="3200" b="0"/>
                  <a:t>Team</a:t>
                </a:r>
              </a:p>
            </c:rich>
          </c:tx>
          <c:layout>
            <c:manualLayout>
              <c:xMode val="edge"/>
              <c:yMode val="edge"/>
              <c:x val="0.44477824483748263"/>
              <c:y val="0.93448564369993148"/>
            </c:manualLayout>
          </c:layout>
          <c:overlay val="0"/>
          <c:spPr>
            <a:noFill/>
            <a:ln>
              <a:noFill/>
            </a:ln>
            <a:effectLst/>
          </c:spPr>
          <c:txPr>
            <a:bodyPr rot="0" spcFirstLastPara="1" vertOverflow="ellipsis" vert="horz" wrap="square" anchor="ctr" anchorCtr="1"/>
            <a:lstStyle/>
            <a:p>
              <a:pPr>
                <a:defRPr sz="32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88992975"/>
        <c:crosses val="autoZero"/>
        <c:auto val="1"/>
        <c:lblAlgn val="ctr"/>
        <c:lblOffset val="100"/>
        <c:noMultiLvlLbl val="0"/>
      </c:catAx>
      <c:valAx>
        <c:axId val="108899297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title>
          <c:tx>
            <c:rich>
              <a:bodyPr rot="-5400000" spcFirstLastPara="1" vertOverflow="ellipsis" vert="horz" wrap="square" anchor="ctr" anchorCtr="1"/>
              <a:lstStyle/>
              <a:p>
                <a:pPr>
                  <a:defRPr sz="3200" b="0" i="0" u="none" strike="noStrike" kern="1200" cap="all" baseline="0">
                    <a:solidFill>
                      <a:schemeClr val="tx1">
                        <a:lumMod val="65000"/>
                        <a:lumOff val="35000"/>
                      </a:schemeClr>
                    </a:solidFill>
                    <a:latin typeface="+mn-lt"/>
                    <a:ea typeface="+mn-ea"/>
                    <a:cs typeface="+mn-cs"/>
                  </a:defRPr>
                </a:pPr>
                <a:r>
                  <a:rPr lang="en-US" sz="3200" b="0"/>
                  <a:t>Match Outcome %</a:t>
                </a:r>
              </a:p>
            </c:rich>
          </c:tx>
          <c:layout>
            <c:manualLayout>
              <c:xMode val="edge"/>
              <c:yMode val="edge"/>
              <c:x val="5.4509904300724839E-3"/>
              <c:y val="0.29514461230019301"/>
            </c:manualLayout>
          </c:layout>
          <c:overlay val="0"/>
          <c:spPr>
            <a:noFill/>
            <a:ln>
              <a:noFill/>
            </a:ln>
            <a:effectLst/>
          </c:spPr>
          <c:txPr>
            <a:bodyPr rot="-5400000" spcFirstLastPara="1" vertOverflow="ellipsis" vert="horz" wrap="square" anchor="ctr" anchorCtr="1"/>
            <a:lstStyle/>
            <a:p>
              <a:pPr>
                <a:defRPr sz="32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US"/>
          </a:p>
        </c:txPr>
        <c:crossAx val="1088981935"/>
        <c:crosses val="autoZero"/>
        <c:crossBetween val="between"/>
      </c:valAx>
      <c:spPr>
        <a:noFill/>
        <a:ln>
          <a:noFill/>
        </a:ln>
        <a:effectLst/>
      </c:spPr>
    </c:plotArea>
    <c:legend>
      <c:legendPos val="r"/>
      <c:layout>
        <c:manualLayout>
          <c:xMode val="edge"/>
          <c:yMode val="edge"/>
          <c:x val="0.94003143817882562"/>
          <c:y val="0.16086691266518477"/>
          <c:w val="5.8583512305498742E-2"/>
          <c:h val="0.56602430403776738"/>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b="1" i="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Pitch Sizes 2023/2024 Premier League</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845944843404834E-2"/>
          <c:y val="0.12655571133363838"/>
          <c:w val="0.88150011160628372"/>
          <c:h val="0.72199517402471847"/>
        </c:manualLayout>
      </c:layout>
      <c:scatterChart>
        <c:scatterStyle val="lineMarker"/>
        <c:varyColors val="0"/>
        <c:ser>
          <c:idx val="0"/>
          <c:order val="0"/>
          <c:tx>
            <c:strRef>
              <c:f>'Pitch Size'!$C$1</c:f>
              <c:strCache>
                <c:ptCount val="1"/>
                <c:pt idx="0">
                  <c:v>Pitch Width (m)</c:v>
                </c:pt>
              </c:strCache>
            </c:strRef>
          </c:tx>
          <c:spPr>
            <a:ln w="38100" cap="rnd">
              <a:noFill/>
              <a:round/>
            </a:ln>
            <a:effectLst/>
          </c:spPr>
          <c:marker>
            <c:symbol val="x"/>
            <c:size val="14"/>
            <c:spPr>
              <a:noFill/>
              <a:ln w="9525">
                <a:solidFill>
                  <a:schemeClr val="accent1"/>
                </a:solidFill>
                <a:round/>
              </a:ln>
              <a:effectLst/>
            </c:spPr>
          </c:marker>
          <c:dLbls>
            <c:dLbl>
              <c:idx val="0"/>
              <c:tx>
                <c:rich>
                  <a:bodyPr/>
                  <a:lstStyle/>
                  <a:p>
                    <a:fld id="{537828CC-848A-49C8-B6BF-30B3627983F2}"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{537828CC-848A-49C8-B6BF-30B3627983F2}</c15:txfldGUID>
                      <c15:f>'Pitch Size'!$A$2</c15:f>
                      <c15:dlblFieldTableCache>
                        <c:ptCount val="1"/>
                        <c:pt idx="0">
                          <c:v>Nottingham Forest</c:v>
                        </c:pt>
                      </c15:dlblFieldTableCache>
                    </c15:dlblFTEntry>
                  </c15:dlblFieldTable>
                  <c15:showDataLabelsRange val="0"/>
                </c:ext>
                <c:ext xmlns:c16="http://schemas.microsoft.com/office/drawing/2014/chart" uri="{C3380CC4-5D6E-409C-BE32-E72D297353CC}">
                  <c16:uniqueId val="{00000000-197A-4406-9ED6-D1683331B2CC}"/>
                </c:ext>
              </c:extLst>
            </c:dLbl>
            <c:dLbl>
              <c:idx val="1"/>
              <c:tx>
                <c:rich>
                  <a:bodyPr/>
                  <a:lstStyle/>
                  <a:p>
                    <a:fld id="{7EDA5DBD-0109-48B7-B2B8-D8154247A92A}"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{7EDA5DBD-0109-48B7-B2B8-D8154247A92A}</c15:txfldGUID>
                      <c15:f>'Pitch Size'!$A$3</c15:f>
                      <c15:dlblFieldTableCache>
                        <c:ptCount val="1"/>
                        <c:pt idx="0">
                          <c:v>Everton</c:v>
                        </c:pt>
                      </c15:dlblFieldTableCache>
                    </c15:dlblFTEntry>
                  </c15:dlblFieldTable>
                  <c15:showDataLabelsRange val="0"/>
                </c:ext>
                <c:ext xmlns:c16="http://schemas.microsoft.com/office/drawing/2014/chart" uri="{C3380CC4-5D6E-409C-BE32-E72D297353CC}">
                  <c16:uniqueId val="{00000001-197A-4406-9ED6-D1683331B2CC}"/>
                </c:ext>
              </c:extLst>
            </c:dLbl>
            <c:dLbl>
              <c:idx val="2"/>
              <c:delete val="1"/>
              <c:extLst>
                <c:ext xmlns:c15="http://schemas.microsoft.com/office/drawing/2012/chart" uri="{CE6537A1-D6FC-4f65-9D91-7224C49458BB}"/>
                <c:ext xmlns:c16="http://schemas.microsoft.com/office/drawing/2014/chart" uri="{C3380CC4-5D6E-409C-BE32-E72D297353CC}">
                  <c16:uniqueId val="{00000002-197A-4406-9ED6-D1683331B2CC}"/>
                </c:ext>
              </c:extLst>
            </c:dLbl>
            <c:dLbl>
              <c:idx val="3"/>
              <c:delete val="1"/>
              <c:extLst>
                <c:ext xmlns:c15="http://schemas.microsoft.com/office/drawing/2012/chart" uri="{CE6537A1-D6FC-4f65-9D91-7224C49458BB}"/>
                <c:ext xmlns:c16="http://schemas.microsoft.com/office/drawing/2014/chart" uri="{C3380CC4-5D6E-409C-BE32-E72D297353CC}">
                  <c16:uniqueId val="{00000003-197A-4406-9ED6-D1683331B2CC}"/>
                </c:ext>
              </c:extLst>
            </c:dLbl>
            <c:dLbl>
              <c:idx val="4"/>
              <c:delete val="1"/>
              <c:extLst>
                <c:ext xmlns:c15="http://schemas.microsoft.com/office/drawing/2012/chart" uri="{CE6537A1-D6FC-4f65-9D91-7224C49458BB}"/>
                <c:ext xmlns:c16="http://schemas.microsoft.com/office/drawing/2014/chart" uri="{C3380CC4-5D6E-409C-BE32-E72D297353CC}">
                  <c16:uniqueId val="{00000004-197A-4406-9ED6-D1683331B2CC}"/>
                </c:ext>
              </c:extLst>
            </c:dLbl>
            <c:dLbl>
              <c:idx val="5"/>
              <c:delete val="1"/>
              <c:extLst>
                <c:ext xmlns:c15="http://schemas.microsoft.com/office/drawing/2012/chart" uri="{CE6537A1-D6FC-4f65-9D91-7224C49458BB}"/>
                <c:ext xmlns:c16="http://schemas.microsoft.com/office/drawing/2014/chart" uri="{C3380CC4-5D6E-409C-BE32-E72D297353CC}">
                  <c16:uniqueId val="{00000005-197A-4406-9ED6-D1683331B2CC}"/>
                </c:ext>
              </c:extLst>
            </c:dLbl>
            <c:dLbl>
              <c:idx val="6"/>
              <c:layout>
                <c:manualLayout>
                  <c:x val="-6.7125745645430793E-2"/>
                  <c:y val="0.1881234407538776"/>
                </c:manualLayout>
              </c:layout>
              <c:tx>
                <c:rich>
                  <a:bodyPr/>
                  <a:lstStyle/>
                  <a:p>
                    <a:fld id="{52789C76-7A89-4AF6-8D2F-DABAECA87AC2}" type="CELLREF">
                      <a:rPr lang="en-US"/>
                      <a:pPr/>
                      <a:t>[CELLREF]</a:t>
                    </a:fld>
                    <a:endParaRPr lang="en-US"/>
                  </a:p>
                </c:rich>
              </c:tx>
              <c:dLblPos val="r"/>
              <c:showLegendKey val="0"/>
              <c:showVal val="1"/>
              <c:showCatName val="0"/>
              <c:showSerName val="0"/>
              <c:showPercent val="0"/>
              <c:showBubbleSize val="0"/>
              <c:separator>, </c:separator>
              <c:extLst>
                <c:ext xmlns:c15="http://schemas.microsoft.com/office/drawing/2012/chart" uri="{CE6537A1-D6FC-4f65-9D91-7224C49458BB}">
                  <c15:layout>
                    <c:manualLayout>
                      <c:w val="0.26026399825021873"/>
                      <c:h val="0.49937518226888294"/>
                    </c:manualLayout>
                  </c15:layout>
                  <c15:dlblFieldTable>
                    <c15:dlblFTEntry>
                      <c15:txfldGUID>{52789C76-7A89-4AF6-8D2F-DABAECA87AC2}</c15:txfldGUID>
                      <c15:f>'Pitch Size'!$A$4:$A$15</c15:f>
                      <c15:dlblFieldTableCache>
                        <c:ptCount val="12"/>
                        <c:pt idx="0">
                          <c:v>Arsenal</c:v>
                        </c:pt>
                        <c:pt idx="1">
                          <c:v>Aston Villa</c:v>
                        </c:pt>
                        <c:pt idx="2">
                          <c:v>Bournemouth</c:v>
                        </c:pt>
                        <c:pt idx="3">
                          <c:v>Brentford</c:v>
                        </c:pt>
                        <c:pt idx="4">
                          <c:v>Brighton and Hove Albion</c:v>
                        </c:pt>
                        <c:pt idx="5">
                          <c:v>Burnley</c:v>
                        </c:pt>
                        <c:pt idx="6">
                          <c:v>Manchester City</c:v>
                        </c:pt>
                        <c:pt idx="7">
                          <c:v>Manchester United</c:v>
                        </c:pt>
                        <c:pt idx="8">
                          <c:v>Newcastle United</c:v>
                        </c:pt>
                        <c:pt idx="9">
                          <c:v>Tottenham Hotspur</c:v>
                        </c:pt>
                        <c:pt idx="10">
                          <c:v>West Ham United</c:v>
                        </c:pt>
                        <c:pt idx="11">
                          <c:v>Wolves</c:v>
                        </c:pt>
                      </c15:dlblFieldTableCache>
                    </c15:dlblFTEntry>
                  </c15:dlblFieldTable>
                  <c15:showDataLabelsRange val="0"/>
                </c:ext>
                <c:ext xmlns:c16="http://schemas.microsoft.com/office/drawing/2014/chart" uri="{C3380CC4-5D6E-409C-BE32-E72D297353CC}">
                  <c16:uniqueId val="{00000006-197A-4406-9ED6-D1683331B2CC}"/>
                </c:ext>
              </c:extLst>
            </c:dLbl>
            <c:dLbl>
              <c:idx val="7"/>
              <c:delete val="1"/>
              <c:extLst>
                <c:ext xmlns:c15="http://schemas.microsoft.com/office/drawing/2012/chart" uri="{CE6537A1-D6FC-4f65-9D91-7224C49458BB}"/>
                <c:ext xmlns:c16="http://schemas.microsoft.com/office/drawing/2014/chart" uri="{C3380CC4-5D6E-409C-BE32-E72D297353CC}">
                  <c16:uniqueId val="{00000007-197A-4406-9ED6-D1683331B2CC}"/>
                </c:ext>
              </c:extLst>
            </c:dLbl>
            <c:dLbl>
              <c:idx val="8"/>
              <c:delete val="1"/>
              <c:extLst>
                <c:ext xmlns:c15="http://schemas.microsoft.com/office/drawing/2012/chart" uri="{CE6537A1-D6FC-4f65-9D91-7224C49458BB}"/>
                <c:ext xmlns:c16="http://schemas.microsoft.com/office/drawing/2014/chart" uri="{C3380CC4-5D6E-409C-BE32-E72D297353CC}">
                  <c16:uniqueId val="{00000008-197A-4406-9ED6-D1683331B2CC}"/>
                </c:ext>
              </c:extLst>
            </c:dLbl>
            <c:dLbl>
              <c:idx val="9"/>
              <c:delete val="1"/>
              <c:extLst>
                <c:ext xmlns:c15="http://schemas.microsoft.com/office/drawing/2012/chart" uri="{CE6537A1-D6FC-4f65-9D91-7224C49458BB}"/>
                <c:ext xmlns:c16="http://schemas.microsoft.com/office/drawing/2014/chart" uri="{C3380CC4-5D6E-409C-BE32-E72D297353CC}">
                  <c16:uniqueId val="{00000009-197A-4406-9ED6-D1683331B2CC}"/>
                </c:ext>
              </c:extLst>
            </c:dLbl>
            <c:dLbl>
              <c:idx val="10"/>
              <c:delete val="1"/>
              <c:extLst>
                <c:ext xmlns:c15="http://schemas.microsoft.com/office/drawing/2012/chart" uri="{CE6537A1-D6FC-4f65-9D91-7224C49458BB}"/>
                <c:ext xmlns:c16="http://schemas.microsoft.com/office/drawing/2014/chart" uri="{C3380CC4-5D6E-409C-BE32-E72D297353CC}">
                  <c16:uniqueId val="{0000000A-197A-4406-9ED6-D1683331B2CC}"/>
                </c:ext>
              </c:extLst>
            </c:dLbl>
            <c:dLbl>
              <c:idx val="11"/>
              <c:delete val="1"/>
              <c:extLst>
                <c:ext xmlns:c15="http://schemas.microsoft.com/office/drawing/2012/chart" uri="{CE6537A1-D6FC-4f65-9D91-7224C49458BB}"/>
                <c:ext xmlns:c16="http://schemas.microsoft.com/office/drawing/2014/chart" uri="{C3380CC4-5D6E-409C-BE32-E72D297353CC}">
                  <c16:uniqueId val="{0000000B-197A-4406-9ED6-D1683331B2CC}"/>
                </c:ext>
              </c:extLst>
            </c:dLbl>
            <c:dLbl>
              <c:idx val="12"/>
              <c:delete val="1"/>
              <c:extLst>
                <c:ext xmlns:c15="http://schemas.microsoft.com/office/drawing/2012/chart" uri="{CE6537A1-D6FC-4f65-9D91-7224C49458BB}"/>
                <c:ext xmlns:c16="http://schemas.microsoft.com/office/drawing/2014/chart" uri="{C3380CC4-5D6E-409C-BE32-E72D297353CC}">
                  <c16:uniqueId val="{0000000C-197A-4406-9ED6-D1683331B2CC}"/>
                </c:ext>
              </c:extLst>
            </c:dLbl>
            <c:dLbl>
              <c:idx val="13"/>
              <c:delete val="1"/>
              <c:extLst>
                <c:ext xmlns:c15="http://schemas.microsoft.com/office/drawing/2012/chart" uri="{CE6537A1-D6FC-4f65-9D91-7224C49458BB}"/>
                <c:ext xmlns:c16="http://schemas.microsoft.com/office/drawing/2014/chart" uri="{C3380CC4-5D6E-409C-BE32-E72D297353CC}">
                  <c16:uniqueId val="{0000000D-197A-4406-9ED6-D1683331B2CC}"/>
                </c:ext>
              </c:extLst>
            </c:dLbl>
            <c:dLbl>
              <c:idx val="14"/>
              <c:tx>
                <c:rich>
                  <a:bodyPr/>
                  <a:lstStyle/>
                  <a:p>
                    <a:fld id="{4C96D899-C248-408A-B46C-FD823AFC0C10}"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{4C96D899-C248-408A-B46C-FD823AFC0C10}</c15:txfldGUID>
                      <c15:f>'Pitch Size'!$A$16</c15:f>
                      <c15:dlblFieldTableCache>
                        <c:ptCount val="1"/>
                        <c:pt idx="0">
                          <c:v>Chelsea</c:v>
                        </c:pt>
                      </c15:dlblFieldTableCache>
                    </c15:dlblFTEntry>
                  </c15:dlblFieldTable>
                  <c15:showDataLabelsRange val="0"/>
                </c:ext>
                <c:ext xmlns:c16="http://schemas.microsoft.com/office/drawing/2014/chart" uri="{C3380CC4-5D6E-409C-BE32-E72D297353CC}">
                  <c16:uniqueId val="{0000000E-197A-4406-9ED6-D1683331B2CC}"/>
                </c:ext>
              </c:extLst>
            </c:dLbl>
            <c:dLbl>
              <c:idx val="15"/>
              <c:delete val="1"/>
              <c:extLst>
                <c:ext xmlns:c15="http://schemas.microsoft.com/office/drawing/2012/chart" uri="{CE6537A1-D6FC-4f65-9D91-7224C49458BB}"/>
                <c:ext xmlns:c16="http://schemas.microsoft.com/office/drawing/2014/chart" uri="{C3380CC4-5D6E-409C-BE32-E72D297353CC}">
                  <c16:uniqueId val="{0000000F-197A-4406-9ED6-D1683331B2CC}"/>
                </c:ext>
              </c:extLst>
            </c:dLbl>
            <c:dLbl>
              <c:idx val="16"/>
              <c:layout>
                <c:manualLayout>
                  <c:x val="-0.16847955295910591"/>
                  <c:y val="-7.5607049437904111E-2"/>
                </c:manualLayout>
              </c:layout>
              <c:tx>
                <c:rich>
                  <a:bodyPr/>
                  <a:lstStyle/>
                  <a:p>
                    <a:fld id="{17D013C1-0F44-47EE-9A29-BA1D156695A4}" type="CELLREF">
                      <a:rPr lang="en-US"/>
                      <a:pPr/>
                      <a:t>[CELLREF]</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dlblFTEntry>
                      <c15:txfldGUID>{17D013C1-0F44-47EE-9A29-BA1D156695A4}</c15:txfldGUID>
                      <c15:f>'Pitch Size'!$A$17:$A$18</c15:f>
                      <c15:dlblFieldTableCache>
                        <c:ptCount val="2"/>
                        <c:pt idx="0">
                          <c:v>Liverpool</c:v>
                        </c:pt>
                        <c:pt idx="1">
                          <c:v>Sheffield United</c:v>
                        </c:pt>
                      </c15:dlblFieldTableCache>
                    </c15:dlblFTEntry>
                  </c15:dlblFieldTable>
                  <c15:showDataLabelsRange val="0"/>
                </c:ext>
                <c:ext xmlns:c16="http://schemas.microsoft.com/office/drawing/2014/chart" uri="{C3380CC4-5D6E-409C-BE32-E72D297353CC}">
                  <c16:uniqueId val="{00000010-197A-4406-9ED6-D1683331B2CC}"/>
                </c:ext>
              </c:extLst>
            </c:dLbl>
            <c:dLbl>
              <c:idx val="17"/>
              <c:delete val="1"/>
              <c:extLst>
                <c:ext xmlns:c15="http://schemas.microsoft.com/office/drawing/2012/chart" uri="{CE6537A1-D6FC-4f65-9D91-7224C49458BB}"/>
                <c:ext xmlns:c16="http://schemas.microsoft.com/office/drawing/2014/chart" uri="{C3380CC4-5D6E-409C-BE32-E72D297353CC}">
                  <c16:uniqueId val="{00000011-197A-4406-9ED6-D1683331B2CC}"/>
                </c:ext>
              </c:extLst>
            </c:dLbl>
            <c:dLbl>
              <c:idx val="18"/>
              <c:tx>
                <c:rich>
                  <a:bodyPr/>
                  <a:lstStyle/>
                  <a:p>
                    <a:fld id="{8AF608E8-4CE3-4DF1-88A9-9F7DA948C661}"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{8AF608E8-4CE3-4DF1-88A9-9F7DA948C661}</c15:txfldGUID>
                      <c15:f>'Pitch Size'!$A$20</c15:f>
                      <c15:dlblFieldTableCache>
                        <c:ptCount val="1"/>
                        <c:pt idx="0">
                          <c:v>Luton Town</c:v>
                        </c:pt>
                      </c15:dlblFieldTableCache>
                    </c15:dlblFTEntry>
                  </c15:dlblFieldTable>
                  <c15:showDataLabelsRange val="0"/>
                </c:ext>
                <c:ext xmlns:c16="http://schemas.microsoft.com/office/drawing/2014/chart" uri="{C3380CC4-5D6E-409C-BE32-E72D297353CC}">
                  <c16:uniqueId val="{00000012-197A-4406-9ED6-D1683331B2CC}"/>
                </c:ext>
              </c:extLst>
            </c:dLbl>
            <c:dLbl>
              <c:idx val="19"/>
              <c:tx>
                <c:rich>
                  <a:bodyPr/>
                  <a:lstStyle/>
                  <a:p>
                    <a:fld id="{C438A475-C458-4C75-9820-9380D6F58967}"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{C438A475-C458-4C75-9820-9380D6F58967}</c15:txfldGUID>
                      <c15:f>'Pitch Size'!$A$21</c15:f>
                      <c15:dlblFieldTableCache>
                        <c:ptCount val="1"/>
                        <c:pt idx="0">
                          <c:v>Fulham</c:v>
                        </c:pt>
                      </c15:dlblFieldTableCache>
                    </c15:dlblFTEntry>
                  </c15:dlblFieldTable>
                  <c15:showDataLabelsRange val="0"/>
                </c:ext>
                <c:ext xmlns:c16="http://schemas.microsoft.com/office/drawing/2014/chart" uri="{C3380CC4-5D6E-409C-BE32-E72D297353CC}">
                  <c16:uniqueId val="{00000013-197A-4406-9ED6-D1683331B2CC}"/>
                </c:ext>
              </c:extLst>
            </c:dLbl>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'Pitch Size'!$B$2:$B$21</c:f>
              <c:numCache>
                <c:formatCode>General</c:formatCode>
                <c:ptCount val="20"/>
                <c:pt idx="0">
                  <c:v>105</c:v>
                </c:pt>
                <c:pt idx="1">
                  <c:v>103</c:v>
                </c:pt>
                <c:pt idx="2">
                  <c:v>105</c:v>
                </c:pt>
                <c:pt idx="3">
                  <c:v>105</c:v>
                </c:pt>
                <c:pt idx="4">
                  <c:v>105</c:v>
                </c:pt>
                <c:pt idx="5">
                  <c:v>105</c:v>
                </c:pt>
                <c:pt idx="6">
                  <c:v>105</c:v>
                </c:pt>
                <c:pt idx="7">
                  <c:v>105</c:v>
                </c:pt>
                <c:pt idx="8">
                  <c:v>105</c:v>
                </c:pt>
                <c:pt idx="9">
                  <c:v>105</c:v>
                </c:pt>
                <c:pt idx="10">
                  <c:v>105</c:v>
                </c:pt>
                <c:pt idx="11">
                  <c:v>105</c:v>
                </c:pt>
                <c:pt idx="12">
                  <c:v>105</c:v>
                </c:pt>
                <c:pt idx="13">
                  <c:v>105</c:v>
                </c:pt>
                <c:pt idx="14">
                  <c:v>103</c:v>
                </c:pt>
                <c:pt idx="15">
                  <c:v>101</c:v>
                </c:pt>
                <c:pt idx="16">
                  <c:v>101</c:v>
                </c:pt>
                <c:pt idx="17">
                  <c:v>101</c:v>
                </c:pt>
                <c:pt idx="18">
                  <c:v>101</c:v>
                </c:pt>
                <c:pt idx="19">
                  <c:v>100</c:v>
                </c:pt>
              </c:numCache>
            </c:numRef>
          </c:xVal>
          <c:yVal>
            <c:numRef>
              <c:f>'Pitch Size'!$C$2:$C$21</c:f>
              <c:numCache>
                <c:formatCode>General</c:formatCode>
                <c:ptCount val="20"/>
                <c:pt idx="0">
                  <c:v>71</c:v>
                </c:pt>
                <c:pt idx="1">
                  <c:v>70</c:v>
                </c:pt>
                <c:pt idx="2">
                  <c:v>68</c:v>
                </c:pt>
                <c:pt idx="3">
                  <c:v>68</c:v>
                </c:pt>
                <c:pt idx="4">
                  <c:v>68</c:v>
                </c:pt>
                <c:pt idx="5">
                  <c:v>68</c:v>
                </c:pt>
                <c:pt idx="6">
                  <c:v>68</c:v>
                </c:pt>
                <c:pt idx="7">
                  <c:v>68</c:v>
                </c:pt>
                <c:pt idx="8">
                  <c:v>68</c:v>
                </c:pt>
                <c:pt idx="9">
                  <c:v>68</c:v>
                </c:pt>
                <c:pt idx="10">
                  <c:v>68</c:v>
                </c:pt>
                <c:pt idx="11">
                  <c:v>68</c:v>
                </c:pt>
                <c:pt idx="12">
                  <c:v>68</c:v>
                </c:pt>
                <c:pt idx="13">
                  <c:v>68</c:v>
                </c:pt>
                <c:pt idx="14">
                  <c:v>67</c:v>
                </c:pt>
                <c:pt idx="15">
                  <c:v>68</c:v>
                </c:pt>
                <c:pt idx="16">
                  <c:v>68</c:v>
                </c:pt>
                <c:pt idx="17">
                  <c:v>68</c:v>
                </c:pt>
                <c:pt idx="18">
                  <c:v>66</c:v>
                </c:pt>
                <c:pt idx="19">
                  <c:v>65</c:v>
                </c:pt>
              </c:numCache>
            </c:numRef>
          </c:yVal>
          <c:smooth val="0"/>
          <c:extLst>
            <c:ext xmlns:c16="http://schemas.microsoft.com/office/drawing/2014/chart" uri="{C3380CC4-5D6E-409C-BE32-E72D297353CC}">
              <c16:uniqueId val="{00000014-197A-4406-9ED6-D1683331B2CC}"/>
            </c:ext>
          </c:extLst>
        </c:ser>
        <c:dLbls>
          <c:dLblPos val="t"/>
          <c:showLegendKey val="0"/>
          <c:showVal val="1"/>
          <c:showCatName val="0"/>
          <c:showSerName val="0"/>
          <c:showPercent val="0"/>
          <c:showBubbleSize val="0"/>
        </c:dLbls>
        <c:axId val="1068611312"/>
        <c:axId val="1537857120"/>
      </c:scatterChart>
      <c:valAx>
        <c:axId val="1068611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r>
                  <a:rPr lang="en-US" sz="3200"/>
                  <a:t>Pitch Length (m)</a:t>
                </a:r>
              </a:p>
            </c:rich>
          </c:tx>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537857120"/>
        <c:crosses val="autoZero"/>
        <c:crossBetween val="midCat"/>
      </c:valAx>
      <c:valAx>
        <c:axId val="1537857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r>
                  <a:rPr lang="en-US" sz="3200"/>
                  <a:t>Pitch Width (m)</a:t>
                </a:r>
              </a:p>
            </c:rich>
          </c:tx>
          <c:layout>
            <c:manualLayout>
              <c:xMode val="edge"/>
              <c:yMode val="edge"/>
              <c:x val="9.4741265846168057E-3"/>
              <c:y val="0.31149393393509228"/>
            </c:manualLayout>
          </c:layout>
          <c:overlay val="0"/>
          <c:spPr>
            <a:noFill/>
            <a:ln>
              <a:noFill/>
            </a:ln>
            <a:effectLst/>
          </c:spPr>
          <c:txPr>
            <a:bodyPr rot="-54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0686113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4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[Figures_tableau.xlsm]Attendance Graph!PivotTable7</c:name>
    <c:fmtId val="6"/>
  </c:pivotSource>
  <c:chart>
    <c:title>
      <c:tx>
        <c:rich>
          <a:bodyPr rot="0" spcFirstLastPara="1" vertOverflow="ellipsis" vert="horz" wrap="square" anchor="ctr" anchorCtr="1"/>
          <a:lstStyle/>
          <a:p>
            <a:pPr>
              <a:defRPr sz="3840" b="0" i="0" u="none" strike="noStrike" kern="1200" spc="0" baseline="0">
                <a:solidFill>
                  <a:schemeClr val="tx1">
                    <a:lumMod val="65000"/>
                    <a:lumOff val="35000"/>
                  </a:schemeClr>
                </a:solidFill>
                <a:latin typeface="+mn-lt"/>
                <a:ea typeface="+mn-ea"/>
                <a:cs typeface="+mn-cs"/>
              </a:defRPr>
            </a:pPr>
            <a:r>
              <a:rPr lang="en-US"/>
              <a:t>Average Home Team Performance Vs Home Fan Attendance</a:t>
            </a:r>
          </a:p>
        </c:rich>
      </c:tx>
      <c:overlay val="0"/>
      <c:spPr>
        <a:noFill/>
        <a:ln>
          <a:noFill/>
        </a:ln>
        <a:effectLst/>
      </c:spPr>
      <c:txPr>
        <a:bodyPr rot="0" spcFirstLastPara="1" vertOverflow="ellipsis" vert="horz" wrap="square" anchor="ctr" anchorCtr="1"/>
        <a:lstStyle/>
        <a:p>
          <a:pPr>
            <a:defRPr sz="38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412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412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412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164316437631608E-2"/>
          <c:y val="0.17770308253565792"/>
          <c:w val="0.7854595334461697"/>
          <c:h val="0.58896040506015046"/>
        </c:manualLayout>
      </c:layout>
      <c:lineChart>
        <c:grouping val="standard"/>
        <c:varyColors val="0"/>
        <c:ser>
          <c:idx val="0"/>
          <c:order val="0"/>
          <c:tx>
            <c:strRef>
              <c:f>'Attendance Graph'!$B$3</c:f>
              <c:strCache>
                <c:ptCount val="1"/>
                <c:pt idx="0">
                  <c:v>% Duels Won</c:v>
                </c:pt>
              </c:strCache>
            </c:strRef>
          </c:tx>
          <c:spPr>
            <a:ln w="41275" cap="rnd">
              <a:solidFill>
                <a:schemeClr val="accent1"/>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Graph'!$B$4:$B$28</c:f>
              <c:numCache>
                <c:formatCode>General</c:formatCode>
                <c:ptCount val="25"/>
                <c:pt idx="0">
                  <c:v>51</c:v>
                </c:pt>
                <c:pt idx="1">
                  <c:v>50.35</c:v>
                </c:pt>
                <c:pt idx="2">
                  <c:v>43.233333333333327</c:v>
                </c:pt>
                <c:pt idx="3">
                  <c:v>56.825000000000003</c:v>
                </c:pt>
                <c:pt idx="4">
                  <c:v>47.233333333333327</c:v>
                </c:pt>
                <c:pt idx="5">
                  <c:v>54.8</c:v>
                </c:pt>
                <c:pt idx="6">
                  <c:v>30.7</c:v>
                </c:pt>
                <c:pt idx="7">
                  <c:v>58.35</c:v>
                </c:pt>
                <c:pt idx="8">
                  <c:v>40.9</c:v>
                </c:pt>
                <c:pt idx="9">
                  <c:v>40.733333333333327</c:v>
                </c:pt>
                <c:pt idx="10">
                  <c:v>49.644444444444446</c:v>
                </c:pt>
                <c:pt idx="11">
                  <c:v>60.199999999999996</c:v>
                </c:pt>
                <c:pt idx="12">
                  <c:v>51.558823529411768</c:v>
                </c:pt>
                <c:pt idx="13">
                  <c:v>63.6</c:v>
                </c:pt>
                <c:pt idx="14">
                  <c:v>50</c:v>
                </c:pt>
                <c:pt idx="15">
                  <c:v>54.525000000000006</c:v>
                </c:pt>
                <c:pt idx="16">
                  <c:v>49.954999999999998</c:v>
                </c:pt>
                <c:pt idx="17">
                  <c:v>47.81111111111111</c:v>
                </c:pt>
                <c:pt idx="18">
                  <c:v>47.695833333333333</c:v>
                </c:pt>
                <c:pt idx="19">
                  <c:v>48.629629629629626</c:v>
                </c:pt>
                <c:pt idx="20">
                  <c:v>48.95</c:v>
                </c:pt>
                <c:pt idx="21">
                  <c:v>52.471428571428575</c:v>
                </c:pt>
                <c:pt idx="22">
                  <c:v>51.300000000000018</c:v>
                </c:pt>
                <c:pt idx="23">
                  <c:v>50.963157894736831</c:v>
                </c:pt>
                <c:pt idx="24">
                  <c:v>52.927777777777777</c:v>
                </c:pt>
              </c:numCache>
            </c:numRef>
          </c:val>
          <c:smooth val="0"/>
          <c:extLst>
            <c:ext xmlns:c16="http://schemas.microsoft.com/office/drawing/2014/chart" uri="{C3380CC4-5D6E-409C-BE32-E72D297353CC}">
              <c16:uniqueId val="{00000000-FD2B-4CF0-9B21-876D351E304C}"/>
            </c:ext>
          </c:extLst>
        </c:ser>
        <c:ser>
          <c:idx val="1"/>
          <c:order val="1"/>
          <c:tx>
            <c:strRef>
              <c:f>'Attendance Graph'!$C$3</c:f>
              <c:strCache>
                <c:ptCount val="1"/>
                <c:pt idx="0">
                  <c:v>% Team Tackles Won</c:v>
                </c:pt>
              </c:strCache>
            </c:strRef>
          </c:tx>
          <c:spPr>
            <a:ln w="41275" cap="rnd">
              <a:solidFill>
                <a:schemeClr val="accent2"/>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Graph'!$C$4:$C$28</c:f>
              <c:numCache>
                <c:formatCode>General</c:formatCode>
                <c:ptCount val="25"/>
                <c:pt idx="0">
                  <c:v>59.4</c:v>
                </c:pt>
                <c:pt idx="1">
                  <c:v>70.2</c:v>
                </c:pt>
                <c:pt idx="2">
                  <c:v>64.166666666666671</c:v>
                </c:pt>
                <c:pt idx="3">
                  <c:v>54.8</c:v>
                </c:pt>
                <c:pt idx="4">
                  <c:v>51.383333333333333</c:v>
                </c:pt>
                <c:pt idx="5">
                  <c:v>63.6</c:v>
                </c:pt>
                <c:pt idx="6">
                  <c:v>75.95</c:v>
                </c:pt>
                <c:pt idx="7">
                  <c:v>54.15</c:v>
                </c:pt>
                <c:pt idx="8">
                  <c:v>64.3</c:v>
                </c:pt>
                <c:pt idx="9">
                  <c:v>49</c:v>
                </c:pt>
                <c:pt idx="10">
                  <c:v>55.666666666666664</c:v>
                </c:pt>
                <c:pt idx="11">
                  <c:v>54.9</c:v>
                </c:pt>
                <c:pt idx="12">
                  <c:v>65.20588235294116</c:v>
                </c:pt>
                <c:pt idx="13">
                  <c:v>56.3</c:v>
                </c:pt>
                <c:pt idx="14">
                  <c:v>35.700000000000003</c:v>
                </c:pt>
                <c:pt idx="15">
                  <c:v>58.679166666666674</c:v>
                </c:pt>
                <c:pt idx="16">
                  <c:v>54.42</c:v>
                </c:pt>
                <c:pt idx="17">
                  <c:v>54.477777777777781</c:v>
                </c:pt>
                <c:pt idx="18">
                  <c:v>58.079166666666673</c:v>
                </c:pt>
                <c:pt idx="19">
                  <c:v>58.981481481481481</c:v>
                </c:pt>
                <c:pt idx="20">
                  <c:v>59.181249999999999</c:v>
                </c:pt>
                <c:pt idx="21">
                  <c:v>58.06666666666667</c:v>
                </c:pt>
                <c:pt idx="22">
                  <c:v>59.884745762711859</c:v>
                </c:pt>
                <c:pt idx="23">
                  <c:v>60.71368421052631</c:v>
                </c:pt>
                <c:pt idx="24">
                  <c:v>60.311111111111131</c:v>
                </c:pt>
              </c:numCache>
            </c:numRef>
          </c:val>
          <c:smooth val="0"/>
          <c:extLst>
            <c:ext xmlns:c16="http://schemas.microsoft.com/office/drawing/2014/chart" uri="{C3380CC4-5D6E-409C-BE32-E72D297353CC}">
              <c16:uniqueId val="{00000001-FD2B-4CF0-9B21-876D351E304C}"/>
            </c:ext>
          </c:extLst>
        </c:ser>
        <c:ser>
          <c:idx val="2"/>
          <c:order val="2"/>
          <c:tx>
            <c:strRef>
              <c:f>'Attendance Graph'!$D$3</c:f>
              <c:strCache>
                <c:ptCount val="1"/>
                <c:pt idx="0">
                  <c:v>% Passes Completed</c:v>
                </c:pt>
              </c:strCache>
            </c:strRef>
          </c:tx>
          <c:spPr>
            <a:ln w="41275" cap="rnd">
              <a:solidFill>
                <a:schemeClr val="accent3"/>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Graph'!$D$4:$D$28</c:f>
              <c:numCache>
                <c:formatCode>General</c:formatCode>
                <c:ptCount val="25"/>
                <c:pt idx="0">
                  <c:v>72.650000000000006</c:v>
                </c:pt>
                <c:pt idx="1">
                  <c:v>76.800000000000011</c:v>
                </c:pt>
                <c:pt idx="2">
                  <c:v>77.95</c:v>
                </c:pt>
                <c:pt idx="3">
                  <c:v>76.275000000000006</c:v>
                </c:pt>
                <c:pt idx="4">
                  <c:v>77.5</c:v>
                </c:pt>
                <c:pt idx="5">
                  <c:v>65.5</c:v>
                </c:pt>
                <c:pt idx="6">
                  <c:v>76.199999999999989</c:v>
                </c:pt>
                <c:pt idx="7">
                  <c:v>84.550000000000011</c:v>
                </c:pt>
                <c:pt idx="8">
                  <c:v>84.4</c:v>
                </c:pt>
                <c:pt idx="9">
                  <c:v>80.166666666666671</c:v>
                </c:pt>
                <c:pt idx="10">
                  <c:v>80.711111111111094</c:v>
                </c:pt>
                <c:pt idx="11">
                  <c:v>76.100000000000009</c:v>
                </c:pt>
                <c:pt idx="12">
                  <c:v>82.805882352941168</c:v>
                </c:pt>
                <c:pt idx="13">
                  <c:v>77.900000000000006</c:v>
                </c:pt>
                <c:pt idx="14">
                  <c:v>72.400000000000006</c:v>
                </c:pt>
                <c:pt idx="15">
                  <c:v>77.408333333333331</c:v>
                </c:pt>
                <c:pt idx="16">
                  <c:v>73.77000000000001</c:v>
                </c:pt>
                <c:pt idx="17">
                  <c:v>80.5</c:v>
                </c:pt>
                <c:pt idx="18">
                  <c:v>77.816666666666677</c:v>
                </c:pt>
                <c:pt idx="19">
                  <c:v>75.511111111111106</c:v>
                </c:pt>
                <c:pt idx="20">
                  <c:v>70.224999999999994</c:v>
                </c:pt>
                <c:pt idx="21">
                  <c:v>82.380952380952394</c:v>
                </c:pt>
                <c:pt idx="22">
                  <c:v>83.391525423728794</c:v>
                </c:pt>
                <c:pt idx="23">
                  <c:v>81.965263157894711</c:v>
                </c:pt>
                <c:pt idx="24">
                  <c:v>84.672222222222217</c:v>
                </c:pt>
              </c:numCache>
            </c:numRef>
          </c:val>
          <c:smooth val="0"/>
          <c:extLst>
            <c:ext xmlns:c16="http://schemas.microsoft.com/office/drawing/2014/chart" uri="{C3380CC4-5D6E-409C-BE32-E72D297353CC}">
              <c16:uniqueId val="{00000002-FD2B-4CF0-9B21-876D351E304C}"/>
            </c:ext>
          </c:extLst>
        </c:ser>
        <c:dLbls>
          <c:showLegendKey val="0"/>
          <c:showVal val="0"/>
          <c:showCatName val="0"/>
          <c:showSerName val="0"/>
          <c:showPercent val="0"/>
          <c:showBubbleSize val="0"/>
        </c:dLbls>
        <c:smooth val="0"/>
        <c:axId val="161812256"/>
        <c:axId val="161811776"/>
      </c:lineChart>
      <c:catAx>
        <c:axId val="161812256"/>
        <c:scaling>
          <c:orientation val="minMax"/>
        </c:scaling>
        <c:delete val="0"/>
        <c:axPos val="b"/>
        <c:majorGridlines>
          <c:spPr>
            <a:ln w="12700" cap="flat" cmpd="sng" algn="ctr">
              <a:solidFill>
                <a:schemeClr val="tx1"/>
              </a:solidFill>
              <a:round/>
            </a:ln>
            <a:effectLst/>
          </c:spPr>
        </c:majorGridlines>
        <c:title>
          <c:tx>
            <c:rich>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r>
                  <a:rPr lang="en-US"/>
                  <a:t>% Attendance</a:t>
                </a:r>
              </a:p>
            </c:rich>
          </c:tx>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crossAx val="161811776"/>
        <c:crosses val="autoZero"/>
        <c:auto val="1"/>
        <c:lblAlgn val="ctr"/>
        <c:lblOffset val="100"/>
        <c:noMultiLvlLbl val="0"/>
      </c:catAx>
      <c:valAx>
        <c:axId val="161811776"/>
        <c:scaling>
          <c:orientation val="minMax"/>
          <c:max val="100"/>
        </c:scaling>
        <c:delete val="0"/>
        <c:axPos val="l"/>
        <c:majorGridlines>
          <c:spPr>
            <a:ln w="12700" cap="flat" cmpd="sng" algn="ctr">
              <a:solidFill>
                <a:schemeClr val="tx1"/>
              </a:solidFill>
              <a:round/>
            </a:ln>
            <a:effectLst/>
          </c:spPr>
        </c:majorGridlines>
        <c:title>
          <c:tx>
            <c:rich>
              <a:bodyPr rot="-54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r>
                  <a:rPr lang="en-US"/>
                  <a:t>%</a:t>
                </a:r>
              </a:p>
            </c:rich>
          </c:tx>
          <c:overlay val="0"/>
          <c:spPr>
            <a:noFill/>
            <a:ln>
              <a:noFill/>
            </a:ln>
            <a:effectLst/>
          </c:spPr>
          <c:txPr>
            <a:bodyPr rot="-54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crossAx val="161812256"/>
        <c:crosses val="autoZero"/>
        <c:crossBetween val="between"/>
      </c:valAx>
      <c:spPr>
        <a:noFill/>
        <a:ln>
          <a:noFill/>
        </a:ln>
        <a:effectLst/>
      </c:spPr>
    </c:plotArea>
    <c:legend>
      <c:legendPos val="r"/>
      <c:layout>
        <c:manualLayout>
          <c:xMode val="edge"/>
          <c:yMode val="edge"/>
          <c:x val="0.86603187872543974"/>
          <c:y val="0.20367327605530944"/>
          <c:w val="0.13214817867392742"/>
          <c:h val="0.57942315902532837"/>
        </c:manualLayout>
      </c:layout>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3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[Figures_tableau.xlsm]Referee Pivot Tables!PivotTable1</c:name>
    <c:fmtId val="12"/>
  </c:pivotSource>
  <c:chart>
    <c:title>
      <c:tx>
        <c:rich>
          <a:bodyPr rot="0" spcFirstLastPara="1" vertOverflow="ellipsis" vert="horz" wrap="square" anchor="ctr" anchorCtr="1"/>
          <a:lstStyle/>
          <a:p>
            <a:pPr>
              <a:defRPr sz="4400" b="1" i="0" u="none" strike="noStrike" kern="1200" spc="0" baseline="0">
                <a:solidFill>
                  <a:schemeClr val="tx1">
                    <a:lumMod val="65000"/>
                    <a:lumOff val="35000"/>
                  </a:schemeClr>
                </a:solidFill>
                <a:latin typeface="+mn-lt"/>
                <a:ea typeface="+mn-ea"/>
                <a:cs typeface="+mn-cs"/>
              </a:defRPr>
            </a:pPr>
            <a:r>
              <a:rPr lang="en-US" sz="4400" b="1"/>
              <a:t>Fouls 2000 - 2022</a:t>
            </a:r>
          </a:p>
        </c:rich>
      </c:tx>
      <c:overlay val="0"/>
      <c:spPr>
        <a:noFill/>
        <a:ln>
          <a:noFill/>
        </a:ln>
        <a:effectLst/>
      </c:spPr>
      <c:txPr>
        <a:bodyPr rot="0" spcFirstLastPara="1" vertOverflow="ellipsis" vert="horz" wrap="square" anchor="ctr" anchorCtr="1"/>
        <a:lstStyle/>
        <a:p>
          <a:pPr>
            <a:defRPr sz="4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653792548336563"/>
          <c:y val="0.11114291586532528"/>
          <c:w val="0.79416282536855709"/>
          <c:h val="0.62700236890179739"/>
        </c:manualLayout>
      </c:layout>
      <c:bar3DChart>
        <c:barDir val="col"/>
        <c:grouping val="percentStacked"/>
        <c:varyColors val="0"/>
        <c:ser>
          <c:idx val="0"/>
          <c:order val="0"/>
          <c:tx>
            <c:strRef>
              <c:f>'Referee Pivot Tables'!$B$3</c:f>
              <c:strCache>
                <c:ptCount val="1"/>
                <c:pt idx="0">
                  <c:v>Home Foul</c:v>
                </c:pt>
              </c:strCache>
            </c:strRef>
          </c:tx>
          <c:spPr>
            <a:solidFill>
              <a:schemeClr val="accent1"/>
            </a:solidFill>
            <a:ln>
              <a:noFill/>
            </a:ln>
            <a:effectLst/>
            <a:sp3d/>
          </c:spPr>
          <c:invertIfNegative val="0"/>
          <c:cat>
            <c:strRef>
              <c:f>'Referee Pivot Tables'!$A$4:$A$30</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Tables'!$B$4:$B$30</c:f>
              <c:numCache>
                <c:formatCode>General</c:formatCode>
                <c:ptCount val="26"/>
                <c:pt idx="0">
                  <c:v>3888</c:v>
                </c:pt>
                <c:pt idx="1">
                  <c:v>3380</c:v>
                </c:pt>
                <c:pt idx="2">
                  <c:v>2657</c:v>
                </c:pt>
                <c:pt idx="3">
                  <c:v>2840</c:v>
                </c:pt>
                <c:pt idx="4">
                  <c:v>1046</c:v>
                </c:pt>
                <c:pt idx="5">
                  <c:v>2277</c:v>
                </c:pt>
                <c:pt idx="6">
                  <c:v>1909</c:v>
                </c:pt>
                <c:pt idx="7">
                  <c:v>3510</c:v>
                </c:pt>
                <c:pt idx="8">
                  <c:v>2833</c:v>
                </c:pt>
                <c:pt idx="9">
                  <c:v>2877</c:v>
                </c:pt>
                <c:pt idx="10">
                  <c:v>3106</c:v>
                </c:pt>
                <c:pt idx="11">
                  <c:v>1829</c:v>
                </c:pt>
                <c:pt idx="12">
                  <c:v>4815</c:v>
                </c:pt>
                <c:pt idx="13">
                  <c:v>3270</c:v>
                </c:pt>
                <c:pt idx="14">
                  <c:v>5889</c:v>
                </c:pt>
                <c:pt idx="15">
                  <c:v>2379</c:v>
                </c:pt>
                <c:pt idx="16">
                  <c:v>2256</c:v>
                </c:pt>
                <c:pt idx="17">
                  <c:v>3434</c:v>
                </c:pt>
                <c:pt idx="18">
                  <c:v>2418</c:v>
                </c:pt>
                <c:pt idx="19">
                  <c:v>1337</c:v>
                </c:pt>
                <c:pt idx="20">
                  <c:v>3646</c:v>
                </c:pt>
                <c:pt idx="21">
                  <c:v>1377</c:v>
                </c:pt>
                <c:pt idx="22">
                  <c:v>1746</c:v>
                </c:pt>
                <c:pt idx="23">
                  <c:v>1892</c:v>
                </c:pt>
                <c:pt idx="24">
                  <c:v>1610</c:v>
                </c:pt>
                <c:pt idx="25">
                  <c:v>2499</c:v>
                </c:pt>
              </c:numCache>
            </c:numRef>
          </c:val>
          <c:extLst>
            <c:ext xmlns:c16="http://schemas.microsoft.com/office/drawing/2014/chart" uri="{C3380CC4-5D6E-409C-BE32-E72D297353CC}">
              <c16:uniqueId val="{00000000-090A-4D7B-9B23-FD872BE5A774}"/>
            </c:ext>
          </c:extLst>
        </c:ser>
        <c:ser>
          <c:idx val="1"/>
          <c:order val="1"/>
          <c:tx>
            <c:strRef>
              <c:f>'Referee Pivot Tables'!$C$3</c:f>
              <c:strCache>
                <c:ptCount val="1"/>
                <c:pt idx="0">
                  <c:v>Away Foul</c:v>
                </c:pt>
              </c:strCache>
            </c:strRef>
          </c:tx>
          <c:spPr>
            <a:solidFill>
              <a:schemeClr val="accent2"/>
            </a:solidFill>
            <a:ln>
              <a:noFill/>
            </a:ln>
            <a:effectLst/>
            <a:sp3d/>
          </c:spPr>
          <c:invertIfNegative val="0"/>
          <c:cat>
            <c:strRef>
              <c:f>'Referee Pivot Tables'!$A$4:$A$30</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Tables'!$C$4:$C$30</c:f>
              <c:numCache>
                <c:formatCode>General</c:formatCode>
                <c:ptCount val="26"/>
                <c:pt idx="0">
                  <c:v>3979</c:v>
                </c:pt>
                <c:pt idx="1">
                  <c:v>3177</c:v>
                </c:pt>
                <c:pt idx="2">
                  <c:v>2718</c:v>
                </c:pt>
                <c:pt idx="3">
                  <c:v>2962</c:v>
                </c:pt>
                <c:pt idx="4">
                  <c:v>1062</c:v>
                </c:pt>
                <c:pt idx="5">
                  <c:v>2295</c:v>
                </c:pt>
                <c:pt idx="6">
                  <c:v>1934</c:v>
                </c:pt>
                <c:pt idx="7">
                  <c:v>3597</c:v>
                </c:pt>
                <c:pt idx="8">
                  <c:v>2931</c:v>
                </c:pt>
                <c:pt idx="9">
                  <c:v>2933</c:v>
                </c:pt>
                <c:pt idx="10">
                  <c:v>3300</c:v>
                </c:pt>
                <c:pt idx="11">
                  <c:v>2016</c:v>
                </c:pt>
                <c:pt idx="12">
                  <c:v>5223</c:v>
                </c:pt>
                <c:pt idx="13">
                  <c:v>3332</c:v>
                </c:pt>
                <c:pt idx="14">
                  <c:v>5905</c:v>
                </c:pt>
                <c:pt idx="15">
                  <c:v>2589</c:v>
                </c:pt>
                <c:pt idx="16">
                  <c:v>2471</c:v>
                </c:pt>
                <c:pt idx="17">
                  <c:v>3520</c:v>
                </c:pt>
                <c:pt idx="18">
                  <c:v>2447</c:v>
                </c:pt>
                <c:pt idx="19">
                  <c:v>1425</c:v>
                </c:pt>
                <c:pt idx="20">
                  <c:v>3983</c:v>
                </c:pt>
                <c:pt idx="21">
                  <c:v>1393</c:v>
                </c:pt>
                <c:pt idx="22">
                  <c:v>1870</c:v>
                </c:pt>
                <c:pt idx="23">
                  <c:v>2035</c:v>
                </c:pt>
                <c:pt idx="24">
                  <c:v>1575</c:v>
                </c:pt>
                <c:pt idx="25">
                  <c:v>2571</c:v>
                </c:pt>
              </c:numCache>
            </c:numRef>
          </c:val>
          <c:extLst>
            <c:ext xmlns:c16="http://schemas.microsoft.com/office/drawing/2014/chart" uri="{C3380CC4-5D6E-409C-BE32-E72D297353CC}">
              <c16:uniqueId val="{00000001-090A-4D7B-9B23-FD872BE5A774}"/>
            </c:ext>
          </c:extLst>
        </c:ser>
        <c:dLbls>
          <c:showLegendKey val="0"/>
          <c:showVal val="0"/>
          <c:showCatName val="0"/>
          <c:showSerName val="0"/>
          <c:showPercent val="0"/>
          <c:showBubbleSize val="0"/>
        </c:dLbls>
        <c:gapWidth val="150"/>
        <c:shape val="box"/>
        <c:axId val="1606677712"/>
        <c:axId val="1606674832"/>
        <c:axId val="0"/>
      </c:bar3DChart>
      <c:catAx>
        <c:axId val="1606677712"/>
        <c:scaling>
          <c:orientation val="minMax"/>
        </c:scaling>
        <c:delete val="0"/>
        <c:axPos val="b"/>
        <c:title>
          <c:tx>
            <c:rich>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Referee</a:t>
                </a:r>
              </a:p>
            </c:rich>
          </c:tx>
          <c:layout>
            <c:manualLayout>
              <c:xMode val="edge"/>
              <c:yMode val="edge"/>
              <c:x val="0.35005510012905339"/>
              <c:y val="0.91390900146420162"/>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4832"/>
        <c:crosses val="autoZero"/>
        <c:auto val="1"/>
        <c:lblAlgn val="ctr"/>
        <c:lblOffset val="100"/>
        <c:noMultiLvlLbl val="0"/>
      </c:catAx>
      <c:valAx>
        <c:axId val="1606674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 Given</a:t>
                </a:r>
              </a:p>
            </c:rich>
          </c:tx>
          <c:layout>
            <c:manualLayout>
              <c:xMode val="edge"/>
              <c:yMode val="edge"/>
              <c:x val="1.148484537504876E-2"/>
              <c:y val="0.34985454491432433"/>
            </c:manualLayout>
          </c:layout>
          <c:overlay val="0"/>
          <c:spPr>
            <a:noFill/>
            <a:ln>
              <a:noFill/>
            </a:ln>
            <a:effectLst/>
          </c:spPr>
          <c:txPr>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7712"/>
        <c:crosses val="autoZero"/>
        <c:crossBetween val="between"/>
      </c:valAx>
      <c:spPr>
        <a:noFill/>
        <a:ln>
          <a:noFill/>
        </a:ln>
        <a:effectLst/>
      </c:spPr>
    </c:plotArea>
    <c:legend>
      <c:legendPos val="r"/>
      <c:layout>
        <c:manualLayout>
          <c:xMode val="edge"/>
          <c:yMode val="edge"/>
          <c:x val="0.88751277483099"/>
          <c:y val="0.2936308230725958"/>
          <c:w val="0.10993691744270183"/>
          <c:h val="0.31611104026789821"/>
        </c:manualLayout>
      </c:layout>
      <c:overlay val="0"/>
      <c:spPr>
        <a:noFill/>
        <a:ln>
          <a:noFill/>
        </a:ln>
        <a:effectLst/>
      </c:spPr>
      <c:txPr>
        <a:bodyPr rot="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sz="2500"/>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[Figures_tableau.xlsm]Referee Pivot Tables!PivotTable4</c:name>
    <c:fmtId val="7"/>
  </c:pivotSource>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Yellow Cards 2000 - 2022</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653792548336563"/>
          <c:y val="0.11114291586532528"/>
          <c:w val="0.79416282536855709"/>
          <c:h val="0.62700236890179739"/>
        </c:manualLayout>
      </c:layout>
      <c:bar3DChart>
        <c:barDir val="col"/>
        <c:grouping val="percentStacked"/>
        <c:varyColors val="0"/>
        <c:ser>
          <c:idx val="0"/>
          <c:order val="0"/>
          <c:tx>
            <c:strRef>
              <c:f>'Referee Pivot Tables'!$C$66</c:f>
              <c:strCache>
                <c:ptCount val="1"/>
                <c:pt idx="0">
                  <c:v>Home Yellow</c:v>
                </c:pt>
              </c:strCache>
            </c:strRef>
          </c:tx>
          <c:spPr>
            <a:solidFill>
              <a:schemeClr val="accent1"/>
            </a:solidFill>
            <a:ln>
              <a:noFill/>
            </a:ln>
            <a:effectLst/>
            <a:sp3d/>
          </c:spPr>
          <c:invertIfNegative val="0"/>
          <c:cat>
            <c:strRef>
              <c:f>'Referee Pivot Tables'!$B$67:$B$93</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Tables'!$C$67:$C$93</c:f>
              <c:numCache>
                <c:formatCode>General</c:formatCode>
                <c:ptCount val="26"/>
                <c:pt idx="0">
                  <c:v>529</c:v>
                </c:pt>
                <c:pt idx="1">
                  <c:v>515</c:v>
                </c:pt>
                <c:pt idx="2">
                  <c:v>287</c:v>
                </c:pt>
                <c:pt idx="3">
                  <c:v>295</c:v>
                </c:pt>
                <c:pt idx="4">
                  <c:v>158</c:v>
                </c:pt>
                <c:pt idx="5">
                  <c:v>327</c:v>
                </c:pt>
                <c:pt idx="6">
                  <c:v>181</c:v>
                </c:pt>
                <c:pt idx="7">
                  <c:v>427</c:v>
                </c:pt>
                <c:pt idx="8">
                  <c:v>408</c:v>
                </c:pt>
                <c:pt idx="9">
                  <c:v>435</c:v>
                </c:pt>
                <c:pt idx="10">
                  <c:v>398</c:v>
                </c:pt>
                <c:pt idx="11">
                  <c:v>194</c:v>
                </c:pt>
                <c:pt idx="12">
                  <c:v>659</c:v>
                </c:pt>
                <c:pt idx="13">
                  <c:v>435</c:v>
                </c:pt>
                <c:pt idx="14">
                  <c:v>942</c:v>
                </c:pt>
                <c:pt idx="15">
                  <c:v>186</c:v>
                </c:pt>
                <c:pt idx="16">
                  <c:v>280</c:v>
                </c:pt>
                <c:pt idx="17">
                  <c:v>468</c:v>
                </c:pt>
                <c:pt idx="18">
                  <c:v>264</c:v>
                </c:pt>
                <c:pt idx="19">
                  <c:v>220</c:v>
                </c:pt>
                <c:pt idx="20">
                  <c:v>436</c:v>
                </c:pt>
                <c:pt idx="21">
                  <c:v>196</c:v>
                </c:pt>
                <c:pt idx="22">
                  <c:v>203</c:v>
                </c:pt>
                <c:pt idx="23">
                  <c:v>249</c:v>
                </c:pt>
                <c:pt idx="24">
                  <c:v>260</c:v>
                </c:pt>
                <c:pt idx="25">
                  <c:v>300</c:v>
                </c:pt>
              </c:numCache>
            </c:numRef>
          </c:val>
          <c:extLst>
            <c:ext xmlns:c16="http://schemas.microsoft.com/office/drawing/2014/chart" uri="{C3380CC4-5D6E-409C-BE32-E72D297353CC}">
              <c16:uniqueId val="{00000000-090A-4D7B-9B23-FD872BE5A774}"/>
            </c:ext>
          </c:extLst>
        </c:ser>
        <c:ser>
          <c:idx val="1"/>
          <c:order val="1"/>
          <c:tx>
            <c:strRef>
              <c:f>'Referee Pivot Tables'!$D$66</c:f>
              <c:strCache>
                <c:ptCount val="1"/>
                <c:pt idx="0">
                  <c:v>Away Yellow</c:v>
                </c:pt>
              </c:strCache>
            </c:strRef>
          </c:tx>
          <c:spPr>
            <a:solidFill>
              <a:schemeClr val="accent2"/>
            </a:solidFill>
            <a:ln>
              <a:noFill/>
            </a:ln>
            <a:effectLst/>
            <a:sp3d/>
          </c:spPr>
          <c:invertIfNegative val="0"/>
          <c:cat>
            <c:strRef>
              <c:f>'Referee Pivot Tables'!$B$67:$B$93</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Tables'!$D$67:$D$93</c:f>
              <c:numCache>
                <c:formatCode>General</c:formatCode>
                <c:ptCount val="26"/>
                <c:pt idx="0">
                  <c:v>646</c:v>
                </c:pt>
                <c:pt idx="1">
                  <c:v>538</c:v>
                </c:pt>
                <c:pt idx="2">
                  <c:v>351</c:v>
                </c:pt>
                <c:pt idx="3">
                  <c:v>401</c:v>
                </c:pt>
                <c:pt idx="4">
                  <c:v>174</c:v>
                </c:pt>
                <c:pt idx="5">
                  <c:v>376</c:v>
                </c:pt>
                <c:pt idx="6">
                  <c:v>253</c:v>
                </c:pt>
                <c:pt idx="7">
                  <c:v>555</c:v>
                </c:pt>
                <c:pt idx="8">
                  <c:v>468</c:v>
                </c:pt>
                <c:pt idx="9">
                  <c:v>469</c:v>
                </c:pt>
                <c:pt idx="10">
                  <c:v>484</c:v>
                </c:pt>
                <c:pt idx="11">
                  <c:v>264</c:v>
                </c:pt>
                <c:pt idx="12">
                  <c:v>815</c:v>
                </c:pt>
                <c:pt idx="13">
                  <c:v>518</c:v>
                </c:pt>
                <c:pt idx="14">
                  <c:v>989</c:v>
                </c:pt>
                <c:pt idx="15">
                  <c:v>284</c:v>
                </c:pt>
                <c:pt idx="16">
                  <c:v>360</c:v>
                </c:pt>
                <c:pt idx="17">
                  <c:v>521</c:v>
                </c:pt>
                <c:pt idx="18">
                  <c:v>345</c:v>
                </c:pt>
                <c:pt idx="19">
                  <c:v>220</c:v>
                </c:pt>
                <c:pt idx="20">
                  <c:v>629</c:v>
                </c:pt>
                <c:pt idx="21">
                  <c:v>212</c:v>
                </c:pt>
                <c:pt idx="22">
                  <c:v>278</c:v>
                </c:pt>
                <c:pt idx="23">
                  <c:v>321</c:v>
                </c:pt>
                <c:pt idx="24">
                  <c:v>283</c:v>
                </c:pt>
                <c:pt idx="25">
                  <c:v>419</c:v>
                </c:pt>
              </c:numCache>
            </c:numRef>
          </c:val>
          <c:extLst>
            <c:ext xmlns:c16="http://schemas.microsoft.com/office/drawing/2014/chart" uri="{C3380CC4-5D6E-409C-BE32-E72D297353CC}">
              <c16:uniqueId val="{00000001-090A-4D7B-9B23-FD872BE5A774}"/>
            </c:ext>
          </c:extLst>
        </c:ser>
        <c:dLbls>
          <c:showLegendKey val="0"/>
          <c:showVal val="0"/>
          <c:showCatName val="0"/>
          <c:showSerName val="0"/>
          <c:showPercent val="0"/>
          <c:showBubbleSize val="0"/>
        </c:dLbls>
        <c:gapWidth val="150"/>
        <c:shape val="box"/>
        <c:axId val="1606677712"/>
        <c:axId val="1606674832"/>
        <c:axId val="0"/>
      </c:bar3DChart>
      <c:catAx>
        <c:axId val="1606677712"/>
        <c:scaling>
          <c:orientation val="minMax"/>
        </c:scaling>
        <c:delete val="0"/>
        <c:axPos val="b"/>
        <c:title>
          <c:tx>
            <c:rich>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Referee</a:t>
                </a:r>
              </a:p>
            </c:rich>
          </c:tx>
          <c:layout>
            <c:manualLayout>
              <c:xMode val="edge"/>
              <c:yMode val="edge"/>
              <c:x val="0.35005510012905339"/>
              <c:y val="0.91390900146420162"/>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4832"/>
        <c:crosses val="autoZero"/>
        <c:auto val="1"/>
        <c:lblAlgn val="ctr"/>
        <c:lblOffset val="100"/>
        <c:noMultiLvlLbl val="0"/>
      </c:catAx>
      <c:valAx>
        <c:axId val="1606674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 Given</a:t>
                </a:r>
              </a:p>
            </c:rich>
          </c:tx>
          <c:layout>
            <c:manualLayout>
              <c:xMode val="edge"/>
              <c:yMode val="edge"/>
              <c:x val="1.148484537504876E-2"/>
              <c:y val="0.34985454491432433"/>
            </c:manualLayout>
          </c:layout>
          <c:overlay val="0"/>
          <c:spPr>
            <a:noFill/>
            <a:ln>
              <a:noFill/>
            </a:ln>
            <a:effectLst/>
          </c:spPr>
          <c:txPr>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7712"/>
        <c:crosses val="autoZero"/>
        <c:crossBetween val="between"/>
      </c:valAx>
      <c:spPr>
        <a:noFill/>
        <a:ln>
          <a:noFill/>
        </a:ln>
        <a:effectLst/>
      </c:spPr>
    </c:plotArea>
    <c:legend>
      <c:legendPos val="r"/>
      <c:layout>
        <c:manualLayout>
          <c:xMode val="edge"/>
          <c:yMode val="edge"/>
          <c:x val="0.88751277483099"/>
          <c:y val="0.2936308230725958"/>
          <c:w val="0.10993691744270183"/>
          <c:h val="0.31611104026789821"/>
        </c:manualLayout>
      </c:layout>
      <c:overlay val="0"/>
      <c:spPr>
        <a:noFill/>
        <a:ln>
          <a:noFill/>
        </a:ln>
        <a:effectLst/>
      </c:spPr>
      <c:txPr>
        <a:bodyPr rot="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sz="2500"/>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[Figures_tableau.xlsm]Referee Pivot Tables!PivotTable3</c:name>
    <c:fmtId val="5"/>
  </c:pivotSource>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Red</a:t>
            </a:r>
            <a:r>
              <a:rPr lang="en-US" sz="4000" b="1" baseline="0"/>
              <a:t> Cards 2000 - 2022</a:t>
            </a:r>
            <a:endParaRPr lang="en-US" sz="4000" b="1"/>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653792548336563"/>
          <c:y val="0.11114291586532528"/>
          <c:w val="0.79416282536855709"/>
          <c:h val="0.62700236890179739"/>
        </c:manualLayout>
      </c:layout>
      <c:bar3DChart>
        <c:barDir val="col"/>
        <c:grouping val="percentStacked"/>
        <c:varyColors val="0"/>
        <c:ser>
          <c:idx val="0"/>
          <c:order val="0"/>
          <c:tx>
            <c:strRef>
              <c:f>'Referee Pivot Tables'!$G$32</c:f>
              <c:strCache>
                <c:ptCount val="1"/>
                <c:pt idx="0">
                  <c:v>Home Red</c:v>
                </c:pt>
              </c:strCache>
            </c:strRef>
          </c:tx>
          <c:spPr>
            <a:solidFill>
              <a:schemeClr val="accent1"/>
            </a:solidFill>
            <a:ln>
              <a:noFill/>
            </a:ln>
            <a:effectLst/>
            <a:sp3d/>
          </c:spPr>
          <c:invertIfNegative val="0"/>
          <c:cat>
            <c:strRef>
              <c:f>'Referee Pivot Tables'!$F$33:$F$59</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Tables'!$G$33:$G$59</c:f>
              <c:numCache>
                <c:formatCode>General</c:formatCode>
                <c:ptCount val="26"/>
                <c:pt idx="0">
                  <c:v>22</c:v>
                </c:pt>
                <c:pt idx="1">
                  <c:v>24</c:v>
                </c:pt>
                <c:pt idx="2">
                  <c:v>8</c:v>
                </c:pt>
                <c:pt idx="3">
                  <c:v>10</c:v>
                </c:pt>
                <c:pt idx="4">
                  <c:v>6</c:v>
                </c:pt>
                <c:pt idx="5">
                  <c:v>13</c:v>
                </c:pt>
                <c:pt idx="6">
                  <c:v>7</c:v>
                </c:pt>
                <c:pt idx="7">
                  <c:v>12</c:v>
                </c:pt>
                <c:pt idx="8">
                  <c:v>16</c:v>
                </c:pt>
                <c:pt idx="9">
                  <c:v>14</c:v>
                </c:pt>
                <c:pt idx="10">
                  <c:v>14</c:v>
                </c:pt>
                <c:pt idx="11">
                  <c:v>12</c:v>
                </c:pt>
                <c:pt idx="12">
                  <c:v>29</c:v>
                </c:pt>
                <c:pt idx="13">
                  <c:v>30</c:v>
                </c:pt>
                <c:pt idx="14">
                  <c:v>38</c:v>
                </c:pt>
                <c:pt idx="15">
                  <c:v>11</c:v>
                </c:pt>
                <c:pt idx="16">
                  <c:v>7</c:v>
                </c:pt>
                <c:pt idx="17">
                  <c:v>19</c:v>
                </c:pt>
                <c:pt idx="18">
                  <c:v>19</c:v>
                </c:pt>
                <c:pt idx="19">
                  <c:v>7</c:v>
                </c:pt>
                <c:pt idx="20">
                  <c:v>23</c:v>
                </c:pt>
                <c:pt idx="21">
                  <c:v>6</c:v>
                </c:pt>
                <c:pt idx="22">
                  <c:v>9</c:v>
                </c:pt>
                <c:pt idx="23">
                  <c:v>20</c:v>
                </c:pt>
                <c:pt idx="24">
                  <c:v>3</c:v>
                </c:pt>
                <c:pt idx="25">
                  <c:v>11</c:v>
                </c:pt>
              </c:numCache>
            </c:numRef>
          </c:val>
          <c:extLst>
            <c:ext xmlns:c16="http://schemas.microsoft.com/office/drawing/2014/chart" uri="{C3380CC4-5D6E-409C-BE32-E72D297353CC}">
              <c16:uniqueId val="{00000000-090A-4D7B-9B23-FD872BE5A774}"/>
            </c:ext>
          </c:extLst>
        </c:ser>
        <c:ser>
          <c:idx val="1"/>
          <c:order val="1"/>
          <c:tx>
            <c:strRef>
              <c:f>'Referee Pivot Tables'!$H$32</c:f>
              <c:strCache>
                <c:ptCount val="1"/>
                <c:pt idx="0">
                  <c:v>Away Red</c:v>
                </c:pt>
              </c:strCache>
            </c:strRef>
          </c:tx>
          <c:spPr>
            <a:solidFill>
              <a:schemeClr val="accent2"/>
            </a:solidFill>
            <a:ln>
              <a:noFill/>
            </a:ln>
            <a:effectLst/>
            <a:sp3d/>
          </c:spPr>
          <c:invertIfNegative val="0"/>
          <c:cat>
            <c:strRef>
              <c:f>'Referee Pivot Tables'!$F$33:$F$59</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Tables'!$H$33:$H$59</c:f>
              <c:numCache>
                <c:formatCode>General</c:formatCode>
                <c:ptCount val="26"/>
                <c:pt idx="0">
                  <c:v>37</c:v>
                </c:pt>
                <c:pt idx="1">
                  <c:v>19</c:v>
                </c:pt>
                <c:pt idx="2">
                  <c:v>20</c:v>
                </c:pt>
                <c:pt idx="3">
                  <c:v>27</c:v>
                </c:pt>
                <c:pt idx="4">
                  <c:v>3</c:v>
                </c:pt>
                <c:pt idx="5">
                  <c:v>18</c:v>
                </c:pt>
                <c:pt idx="6">
                  <c:v>8</c:v>
                </c:pt>
                <c:pt idx="7">
                  <c:v>21</c:v>
                </c:pt>
                <c:pt idx="8">
                  <c:v>22</c:v>
                </c:pt>
                <c:pt idx="9">
                  <c:v>17</c:v>
                </c:pt>
                <c:pt idx="10">
                  <c:v>26</c:v>
                </c:pt>
                <c:pt idx="11">
                  <c:v>19</c:v>
                </c:pt>
                <c:pt idx="12">
                  <c:v>38</c:v>
                </c:pt>
                <c:pt idx="13">
                  <c:v>17</c:v>
                </c:pt>
                <c:pt idx="14">
                  <c:v>70</c:v>
                </c:pt>
                <c:pt idx="15">
                  <c:v>15</c:v>
                </c:pt>
                <c:pt idx="16">
                  <c:v>20</c:v>
                </c:pt>
                <c:pt idx="17">
                  <c:v>23</c:v>
                </c:pt>
                <c:pt idx="18">
                  <c:v>17</c:v>
                </c:pt>
                <c:pt idx="19">
                  <c:v>4</c:v>
                </c:pt>
                <c:pt idx="20">
                  <c:v>42</c:v>
                </c:pt>
                <c:pt idx="21">
                  <c:v>5</c:v>
                </c:pt>
                <c:pt idx="22">
                  <c:v>11</c:v>
                </c:pt>
                <c:pt idx="23">
                  <c:v>30</c:v>
                </c:pt>
                <c:pt idx="24">
                  <c:v>18</c:v>
                </c:pt>
                <c:pt idx="25">
                  <c:v>30</c:v>
                </c:pt>
              </c:numCache>
            </c:numRef>
          </c:val>
          <c:extLst>
            <c:ext xmlns:c16="http://schemas.microsoft.com/office/drawing/2014/chart" uri="{C3380CC4-5D6E-409C-BE32-E72D297353CC}">
              <c16:uniqueId val="{00000001-090A-4D7B-9B23-FD872BE5A774}"/>
            </c:ext>
          </c:extLst>
        </c:ser>
        <c:dLbls>
          <c:showLegendKey val="0"/>
          <c:showVal val="0"/>
          <c:showCatName val="0"/>
          <c:showSerName val="0"/>
          <c:showPercent val="0"/>
          <c:showBubbleSize val="0"/>
        </c:dLbls>
        <c:gapWidth val="150"/>
        <c:shape val="box"/>
        <c:axId val="1606677712"/>
        <c:axId val="1606674832"/>
        <c:axId val="0"/>
      </c:bar3DChart>
      <c:catAx>
        <c:axId val="1606677712"/>
        <c:scaling>
          <c:orientation val="minMax"/>
        </c:scaling>
        <c:delete val="0"/>
        <c:axPos val="b"/>
        <c:title>
          <c:tx>
            <c:rich>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Referee</a:t>
                </a:r>
              </a:p>
            </c:rich>
          </c:tx>
          <c:layout>
            <c:manualLayout>
              <c:xMode val="edge"/>
              <c:yMode val="edge"/>
              <c:x val="0.35005510012905339"/>
              <c:y val="0.91390900146420162"/>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4832"/>
        <c:crosses val="autoZero"/>
        <c:auto val="1"/>
        <c:lblAlgn val="ctr"/>
        <c:lblOffset val="100"/>
        <c:noMultiLvlLbl val="0"/>
      </c:catAx>
      <c:valAx>
        <c:axId val="1606674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r>
                  <a:rPr lang="en-US"/>
                  <a:t>% Given</a:t>
                </a:r>
              </a:p>
            </c:rich>
          </c:tx>
          <c:layout>
            <c:manualLayout>
              <c:xMode val="edge"/>
              <c:yMode val="edge"/>
              <c:x val="1.148484537504876E-2"/>
              <c:y val="0.34985454491432433"/>
            </c:manualLayout>
          </c:layout>
          <c:overlay val="0"/>
          <c:spPr>
            <a:noFill/>
            <a:ln>
              <a:noFill/>
            </a:ln>
            <a:effectLst/>
          </c:spPr>
          <c:txPr>
            <a:bodyPr rot="-54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500" b="0" i="0" u="none" strike="noStrike" kern="1200" baseline="0">
                <a:solidFill>
                  <a:schemeClr val="tx1">
                    <a:lumMod val="65000"/>
                    <a:lumOff val="35000"/>
                  </a:schemeClr>
                </a:solidFill>
                <a:latin typeface="+mn-lt"/>
                <a:ea typeface="+mn-ea"/>
                <a:cs typeface="+mn-cs"/>
              </a:defRPr>
            </a:pPr>
            <a:endParaRPr lang="en-US"/>
          </a:p>
        </c:txPr>
        <c:crossAx val="1606677712"/>
        <c:crosses val="autoZero"/>
        <c:crossBetween val="between"/>
      </c:valAx>
      <c:spPr>
        <a:noFill/>
        <a:ln>
          <a:noFill/>
        </a:ln>
        <a:effectLst/>
      </c:spPr>
    </c:plotArea>
    <c:legend>
      <c:legendPos val="r"/>
      <c:layout>
        <c:manualLayout>
          <c:xMode val="edge"/>
          <c:yMode val="edge"/>
          <c:x val="0.88751277483099"/>
          <c:y val="0.2936308230725958"/>
          <c:w val="0.10993691744270183"/>
          <c:h val="0.31611104026789821"/>
        </c:manualLayout>
      </c:layout>
      <c:overlay val="0"/>
      <c:spPr>
        <a:noFill/>
        <a:ln>
          <a:noFill/>
        </a:ln>
        <a:effectLst/>
      </c:spPr>
      <c:txPr>
        <a:bodyPr rot="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sz="2500"/>
      </a:pPr>
      <a:endParaRPr lang="en-US"/>
    </a:p>
  </c:txPr>
  <c:printSettings>
    <c:headerFooter/>
    <c:pageMargins b="0.75" l="0.7" r="0.7" t="0.75" header="0.3" footer="0.3"/>
    <c:pageSetup/>
  </c:printSettings>
  <c:userShapes r:id="rId4"/>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[Figures_tableau.xlsm]Referee Pivot Tables!PivotTable3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1654615969938623E-2"/>
          <c:y val="1.5920346913157593E-2"/>
          <c:w val="0.76515776524103074"/>
          <c:h val="0.67118087412986416"/>
        </c:manualLayout>
      </c:layout>
      <c:bar3DChart>
        <c:barDir val="col"/>
        <c:grouping val="percentStacked"/>
        <c:varyColors val="0"/>
        <c:ser>
          <c:idx val="0"/>
          <c:order val="0"/>
          <c:tx>
            <c:strRef>
              <c:f>'Referee Pivot Tables'!$G$32</c:f>
              <c:strCache>
                <c:ptCount val="1"/>
                <c:pt idx="0">
                  <c:v>Home Red</c:v>
                </c:pt>
              </c:strCache>
            </c:strRef>
          </c:tx>
          <c:spPr>
            <a:solidFill>
              <a:schemeClr val="accent1"/>
            </a:solidFill>
            <a:ln>
              <a:noFill/>
            </a:ln>
            <a:effectLst/>
            <a:sp3d/>
          </c:spPr>
          <c:invertIfNegative val="0"/>
          <c:cat>
            <c:strRef>
              <c:f>'Referee Pivot Tables'!$F$33:$F$59</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Tables'!$G$33:$G$59</c:f>
              <c:numCache>
                <c:formatCode>General</c:formatCode>
                <c:ptCount val="26"/>
                <c:pt idx="0">
                  <c:v>22</c:v>
                </c:pt>
                <c:pt idx="1">
                  <c:v>24</c:v>
                </c:pt>
                <c:pt idx="2">
                  <c:v>8</c:v>
                </c:pt>
                <c:pt idx="3">
                  <c:v>10</c:v>
                </c:pt>
                <c:pt idx="4">
                  <c:v>6</c:v>
                </c:pt>
                <c:pt idx="5">
                  <c:v>13</c:v>
                </c:pt>
                <c:pt idx="6">
                  <c:v>7</c:v>
                </c:pt>
                <c:pt idx="7">
                  <c:v>12</c:v>
                </c:pt>
                <c:pt idx="8">
                  <c:v>16</c:v>
                </c:pt>
                <c:pt idx="9">
                  <c:v>14</c:v>
                </c:pt>
                <c:pt idx="10">
                  <c:v>14</c:v>
                </c:pt>
                <c:pt idx="11">
                  <c:v>12</c:v>
                </c:pt>
                <c:pt idx="12">
                  <c:v>29</c:v>
                </c:pt>
                <c:pt idx="13">
                  <c:v>30</c:v>
                </c:pt>
                <c:pt idx="14">
                  <c:v>38</c:v>
                </c:pt>
                <c:pt idx="15">
                  <c:v>11</c:v>
                </c:pt>
                <c:pt idx="16">
                  <c:v>7</c:v>
                </c:pt>
                <c:pt idx="17">
                  <c:v>19</c:v>
                </c:pt>
                <c:pt idx="18">
                  <c:v>19</c:v>
                </c:pt>
                <c:pt idx="19">
                  <c:v>7</c:v>
                </c:pt>
                <c:pt idx="20">
                  <c:v>23</c:v>
                </c:pt>
                <c:pt idx="21">
                  <c:v>6</c:v>
                </c:pt>
                <c:pt idx="22">
                  <c:v>9</c:v>
                </c:pt>
                <c:pt idx="23">
                  <c:v>20</c:v>
                </c:pt>
                <c:pt idx="24">
                  <c:v>3</c:v>
                </c:pt>
                <c:pt idx="25">
                  <c:v>11</c:v>
                </c:pt>
              </c:numCache>
            </c:numRef>
          </c:val>
          <c:extLst>
            <c:ext xmlns:c16="http://schemas.microsoft.com/office/drawing/2014/chart" uri="{C3380CC4-5D6E-409C-BE32-E72D297353CC}">
              <c16:uniqueId val="{00000000-90CD-4FE7-85BC-3DE3B5BF327D}"/>
            </c:ext>
          </c:extLst>
        </c:ser>
        <c:ser>
          <c:idx val="1"/>
          <c:order val="1"/>
          <c:tx>
            <c:strRef>
              <c:f>'Referee Pivot Tables'!$H$32</c:f>
              <c:strCache>
                <c:ptCount val="1"/>
                <c:pt idx="0">
                  <c:v>Away Red</c:v>
                </c:pt>
              </c:strCache>
            </c:strRef>
          </c:tx>
          <c:spPr>
            <a:solidFill>
              <a:schemeClr val="accent2"/>
            </a:solidFill>
            <a:ln>
              <a:noFill/>
            </a:ln>
            <a:effectLst/>
            <a:sp3d/>
          </c:spPr>
          <c:invertIfNegative val="0"/>
          <c:cat>
            <c:strRef>
              <c:f>'Referee Pivot Tables'!$F$33:$F$59</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Tables'!$H$33:$H$59</c:f>
              <c:numCache>
                <c:formatCode>General</c:formatCode>
                <c:ptCount val="26"/>
                <c:pt idx="0">
                  <c:v>37</c:v>
                </c:pt>
                <c:pt idx="1">
                  <c:v>19</c:v>
                </c:pt>
                <c:pt idx="2">
                  <c:v>20</c:v>
                </c:pt>
                <c:pt idx="3">
                  <c:v>27</c:v>
                </c:pt>
                <c:pt idx="4">
                  <c:v>3</c:v>
                </c:pt>
                <c:pt idx="5">
                  <c:v>18</c:v>
                </c:pt>
                <c:pt idx="6">
                  <c:v>8</c:v>
                </c:pt>
                <c:pt idx="7">
                  <c:v>21</c:v>
                </c:pt>
                <c:pt idx="8">
                  <c:v>22</c:v>
                </c:pt>
                <c:pt idx="9">
                  <c:v>17</c:v>
                </c:pt>
                <c:pt idx="10">
                  <c:v>26</c:v>
                </c:pt>
                <c:pt idx="11">
                  <c:v>19</c:v>
                </c:pt>
                <c:pt idx="12">
                  <c:v>38</c:v>
                </c:pt>
                <c:pt idx="13">
                  <c:v>17</c:v>
                </c:pt>
                <c:pt idx="14">
                  <c:v>70</c:v>
                </c:pt>
                <c:pt idx="15">
                  <c:v>15</c:v>
                </c:pt>
                <c:pt idx="16">
                  <c:v>20</c:v>
                </c:pt>
                <c:pt idx="17">
                  <c:v>23</c:v>
                </c:pt>
                <c:pt idx="18">
                  <c:v>17</c:v>
                </c:pt>
                <c:pt idx="19">
                  <c:v>4</c:v>
                </c:pt>
                <c:pt idx="20">
                  <c:v>42</c:v>
                </c:pt>
                <c:pt idx="21">
                  <c:v>5</c:v>
                </c:pt>
                <c:pt idx="22">
                  <c:v>11</c:v>
                </c:pt>
                <c:pt idx="23">
                  <c:v>30</c:v>
                </c:pt>
                <c:pt idx="24">
                  <c:v>18</c:v>
                </c:pt>
                <c:pt idx="25">
                  <c:v>30</c:v>
                </c:pt>
              </c:numCache>
            </c:numRef>
          </c:val>
          <c:extLst>
            <c:ext xmlns:c16="http://schemas.microsoft.com/office/drawing/2014/chart" uri="{C3380CC4-5D6E-409C-BE32-E72D297353CC}">
              <c16:uniqueId val="{00000001-90CD-4FE7-85BC-3DE3B5BF327D}"/>
            </c:ext>
          </c:extLst>
        </c:ser>
        <c:dLbls>
          <c:showLegendKey val="0"/>
          <c:showVal val="0"/>
          <c:showCatName val="0"/>
          <c:showSerName val="0"/>
          <c:showPercent val="0"/>
          <c:showBubbleSize val="0"/>
        </c:dLbls>
        <c:gapWidth val="150"/>
        <c:shape val="box"/>
        <c:axId val="1068606992"/>
        <c:axId val="1068608432"/>
        <c:axId val="0"/>
      </c:bar3DChart>
      <c:catAx>
        <c:axId val="1068606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608432"/>
        <c:crosses val="autoZero"/>
        <c:auto val="1"/>
        <c:lblAlgn val="ctr"/>
        <c:lblOffset val="100"/>
        <c:noMultiLvlLbl val="0"/>
      </c:catAx>
      <c:valAx>
        <c:axId val="1068608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606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[Figures_tableau.xlsm]Referee Pivot Tables!PivotTable1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'Referee Pivot Tables'!$B$3</c:f>
              <c:strCache>
                <c:ptCount val="1"/>
                <c:pt idx="0">
                  <c:v>Home Foul</c:v>
                </c:pt>
              </c:strCache>
            </c:strRef>
          </c:tx>
          <c:spPr>
            <a:solidFill>
              <a:schemeClr val="accent1"/>
            </a:solidFill>
            <a:ln>
              <a:noFill/>
            </a:ln>
            <a:effectLst/>
          </c:spPr>
          <c:invertIfNegative val="0"/>
          <c:cat>
            <c:strRef>
              <c:f>'Referee Pivot Tables'!$A$4:$A$30</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Tables'!$B$4:$B$30</c:f>
              <c:numCache>
                <c:formatCode>General</c:formatCode>
                <c:ptCount val="26"/>
                <c:pt idx="0">
                  <c:v>3888</c:v>
                </c:pt>
                <c:pt idx="1">
                  <c:v>3380</c:v>
                </c:pt>
                <c:pt idx="2">
                  <c:v>2657</c:v>
                </c:pt>
                <c:pt idx="3">
                  <c:v>2840</c:v>
                </c:pt>
                <c:pt idx="4">
                  <c:v>1046</c:v>
                </c:pt>
                <c:pt idx="5">
                  <c:v>2277</c:v>
                </c:pt>
                <c:pt idx="6">
                  <c:v>1909</c:v>
                </c:pt>
                <c:pt idx="7">
                  <c:v>3510</c:v>
                </c:pt>
                <c:pt idx="8">
                  <c:v>2833</c:v>
                </c:pt>
                <c:pt idx="9">
                  <c:v>2877</c:v>
                </c:pt>
                <c:pt idx="10">
                  <c:v>3106</c:v>
                </c:pt>
                <c:pt idx="11">
                  <c:v>1829</c:v>
                </c:pt>
                <c:pt idx="12">
                  <c:v>4815</c:v>
                </c:pt>
                <c:pt idx="13">
                  <c:v>3270</c:v>
                </c:pt>
                <c:pt idx="14">
                  <c:v>5889</c:v>
                </c:pt>
                <c:pt idx="15">
                  <c:v>2379</c:v>
                </c:pt>
                <c:pt idx="16">
                  <c:v>2256</c:v>
                </c:pt>
                <c:pt idx="17">
                  <c:v>3434</c:v>
                </c:pt>
                <c:pt idx="18">
                  <c:v>2418</c:v>
                </c:pt>
                <c:pt idx="19">
                  <c:v>1337</c:v>
                </c:pt>
                <c:pt idx="20">
                  <c:v>3646</c:v>
                </c:pt>
                <c:pt idx="21">
                  <c:v>1377</c:v>
                </c:pt>
                <c:pt idx="22">
                  <c:v>1746</c:v>
                </c:pt>
                <c:pt idx="23">
                  <c:v>1892</c:v>
                </c:pt>
                <c:pt idx="24">
                  <c:v>1610</c:v>
                </c:pt>
                <c:pt idx="25">
                  <c:v>2499</c:v>
                </c:pt>
              </c:numCache>
            </c:numRef>
          </c:val>
          <c:extLst>
            <c:ext xmlns:c16="http://schemas.microsoft.com/office/drawing/2014/chart" uri="{C3380CC4-5D6E-409C-BE32-E72D297353CC}">
              <c16:uniqueId val="{00000000-3556-4EE9-9E30-F2DE8AC5DADB}"/>
            </c:ext>
          </c:extLst>
        </c:ser>
        <c:ser>
          <c:idx val="1"/>
          <c:order val="1"/>
          <c:tx>
            <c:strRef>
              <c:f>'Referee Pivot Tables'!$C$3</c:f>
              <c:strCache>
                <c:ptCount val="1"/>
                <c:pt idx="0">
                  <c:v>Away Foul</c:v>
                </c:pt>
              </c:strCache>
            </c:strRef>
          </c:tx>
          <c:spPr>
            <a:solidFill>
              <a:schemeClr val="accent2"/>
            </a:solidFill>
            <a:ln>
              <a:noFill/>
            </a:ln>
            <a:effectLst/>
          </c:spPr>
          <c:invertIfNegative val="0"/>
          <c:cat>
            <c:strRef>
              <c:f>'Referee Pivot Tables'!$A$4:$A$30</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Tables'!$C$4:$C$30</c:f>
              <c:numCache>
                <c:formatCode>General</c:formatCode>
                <c:ptCount val="26"/>
                <c:pt idx="0">
                  <c:v>3979</c:v>
                </c:pt>
                <c:pt idx="1">
                  <c:v>3177</c:v>
                </c:pt>
                <c:pt idx="2">
                  <c:v>2718</c:v>
                </c:pt>
                <c:pt idx="3">
                  <c:v>2962</c:v>
                </c:pt>
                <c:pt idx="4">
                  <c:v>1062</c:v>
                </c:pt>
                <c:pt idx="5">
                  <c:v>2295</c:v>
                </c:pt>
                <c:pt idx="6">
                  <c:v>1934</c:v>
                </c:pt>
                <c:pt idx="7">
                  <c:v>3597</c:v>
                </c:pt>
                <c:pt idx="8">
                  <c:v>2931</c:v>
                </c:pt>
                <c:pt idx="9">
                  <c:v>2933</c:v>
                </c:pt>
                <c:pt idx="10">
                  <c:v>3300</c:v>
                </c:pt>
                <c:pt idx="11">
                  <c:v>2016</c:v>
                </c:pt>
                <c:pt idx="12">
                  <c:v>5223</c:v>
                </c:pt>
                <c:pt idx="13">
                  <c:v>3332</c:v>
                </c:pt>
                <c:pt idx="14">
                  <c:v>5905</c:v>
                </c:pt>
                <c:pt idx="15">
                  <c:v>2589</c:v>
                </c:pt>
                <c:pt idx="16">
                  <c:v>2471</c:v>
                </c:pt>
                <c:pt idx="17">
                  <c:v>3520</c:v>
                </c:pt>
                <c:pt idx="18">
                  <c:v>2447</c:v>
                </c:pt>
                <c:pt idx="19">
                  <c:v>1425</c:v>
                </c:pt>
                <c:pt idx="20">
                  <c:v>3983</c:v>
                </c:pt>
                <c:pt idx="21">
                  <c:v>1393</c:v>
                </c:pt>
                <c:pt idx="22">
                  <c:v>1870</c:v>
                </c:pt>
                <c:pt idx="23">
                  <c:v>2035</c:v>
                </c:pt>
                <c:pt idx="24">
                  <c:v>1575</c:v>
                </c:pt>
                <c:pt idx="25">
                  <c:v>2571</c:v>
                </c:pt>
              </c:numCache>
            </c:numRef>
          </c:val>
          <c:extLst>
            <c:ext xmlns:c16="http://schemas.microsoft.com/office/drawing/2014/chart" uri="{C3380CC4-5D6E-409C-BE32-E72D297353CC}">
              <c16:uniqueId val="{00000001-3556-4EE9-9E30-F2DE8AC5DADB}"/>
            </c:ext>
          </c:extLst>
        </c:ser>
        <c:dLbls>
          <c:showLegendKey val="0"/>
          <c:showVal val="0"/>
          <c:showCatName val="0"/>
          <c:showSerName val="0"/>
          <c:showPercent val="0"/>
          <c:showBubbleSize val="0"/>
        </c:dLbls>
        <c:gapWidth val="150"/>
        <c:overlap val="100"/>
        <c:axId val="1537856640"/>
        <c:axId val="1537853280"/>
      </c:barChart>
      <c:catAx>
        <c:axId val="153785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853280"/>
        <c:crosses val="autoZero"/>
        <c:auto val="1"/>
        <c:lblAlgn val="ctr"/>
        <c:lblOffset val="100"/>
        <c:noMultiLvlLbl val="0"/>
      </c:catAx>
      <c:valAx>
        <c:axId val="1537853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856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[Figures_tableau.xlsm]Referee Pivot Tables!PivotTable4</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'Referee Pivot Tables'!$C$66</c:f>
              <c:strCache>
                <c:ptCount val="1"/>
                <c:pt idx="0">
                  <c:v>Home Yellow</c:v>
                </c:pt>
              </c:strCache>
            </c:strRef>
          </c:tx>
          <c:spPr>
            <a:solidFill>
              <a:schemeClr val="accent1"/>
            </a:solidFill>
            <a:ln>
              <a:noFill/>
            </a:ln>
            <a:effectLst/>
            <a:sp3d/>
          </c:spPr>
          <c:invertIfNegative val="0"/>
          <c:cat>
            <c:strRef>
              <c:f>'Referee Pivot Tables'!$B$67:$B$93</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Tables'!$C$67:$C$93</c:f>
              <c:numCache>
                <c:formatCode>General</c:formatCode>
                <c:ptCount val="26"/>
                <c:pt idx="0">
                  <c:v>529</c:v>
                </c:pt>
                <c:pt idx="1">
                  <c:v>515</c:v>
                </c:pt>
                <c:pt idx="2">
                  <c:v>287</c:v>
                </c:pt>
                <c:pt idx="3">
                  <c:v>295</c:v>
                </c:pt>
                <c:pt idx="4">
                  <c:v>158</c:v>
                </c:pt>
                <c:pt idx="5">
                  <c:v>327</c:v>
                </c:pt>
                <c:pt idx="6">
                  <c:v>181</c:v>
                </c:pt>
                <c:pt idx="7">
                  <c:v>427</c:v>
                </c:pt>
                <c:pt idx="8">
                  <c:v>408</c:v>
                </c:pt>
                <c:pt idx="9">
                  <c:v>435</c:v>
                </c:pt>
                <c:pt idx="10">
                  <c:v>398</c:v>
                </c:pt>
                <c:pt idx="11">
                  <c:v>194</c:v>
                </c:pt>
                <c:pt idx="12">
                  <c:v>659</c:v>
                </c:pt>
                <c:pt idx="13">
                  <c:v>435</c:v>
                </c:pt>
                <c:pt idx="14">
                  <c:v>942</c:v>
                </c:pt>
                <c:pt idx="15">
                  <c:v>186</c:v>
                </c:pt>
                <c:pt idx="16">
                  <c:v>280</c:v>
                </c:pt>
                <c:pt idx="17">
                  <c:v>468</c:v>
                </c:pt>
                <c:pt idx="18">
                  <c:v>264</c:v>
                </c:pt>
                <c:pt idx="19">
                  <c:v>220</c:v>
                </c:pt>
                <c:pt idx="20">
                  <c:v>436</c:v>
                </c:pt>
                <c:pt idx="21">
                  <c:v>196</c:v>
                </c:pt>
                <c:pt idx="22">
                  <c:v>203</c:v>
                </c:pt>
                <c:pt idx="23">
                  <c:v>249</c:v>
                </c:pt>
                <c:pt idx="24">
                  <c:v>260</c:v>
                </c:pt>
                <c:pt idx="25">
                  <c:v>300</c:v>
                </c:pt>
              </c:numCache>
            </c:numRef>
          </c:val>
          <c:extLst>
            <c:ext xmlns:c16="http://schemas.microsoft.com/office/drawing/2014/chart" uri="{C3380CC4-5D6E-409C-BE32-E72D297353CC}">
              <c16:uniqueId val="{00000000-C765-47EC-804C-3EBEF725BADA}"/>
            </c:ext>
          </c:extLst>
        </c:ser>
        <c:ser>
          <c:idx val="1"/>
          <c:order val="1"/>
          <c:tx>
            <c:strRef>
              <c:f>'Referee Pivot Tables'!$D$66</c:f>
              <c:strCache>
                <c:ptCount val="1"/>
                <c:pt idx="0">
                  <c:v>Away Yellow</c:v>
                </c:pt>
              </c:strCache>
            </c:strRef>
          </c:tx>
          <c:spPr>
            <a:solidFill>
              <a:schemeClr val="accent2"/>
            </a:solidFill>
            <a:ln>
              <a:noFill/>
            </a:ln>
            <a:effectLst/>
            <a:sp3d/>
          </c:spPr>
          <c:invertIfNegative val="0"/>
          <c:cat>
            <c:strRef>
              <c:f>'Referee Pivot Tables'!$B$67:$B$93</c:f>
              <c:strCache>
                <c:ptCount val="26"/>
                <c:pt idx="0">
                  <c:v>A Marriner</c:v>
                </c:pt>
                <c:pt idx="1">
                  <c:v>A Taylor</c:v>
                </c:pt>
                <c:pt idx="2">
                  <c:v>A Wiley</c:v>
                </c:pt>
                <c:pt idx="3">
                  <c:v>C Foy</c:v>
                </c:pt>
                <c:pt idx="4">
                  <c:v>C Kavanagh</c:v>
                </c:pt>
                <c:pt idx="5">
                  <c:v>C Pawson</c:v>
                </c:pt>
                <c:pt idx="6">
                  <c:v>G Poll</c:v>
                </c:pt>
                <c:pt idx="7">
                  <c:v>H Webb</c:v>
                </c:pt>
                <c:pt idx="8">
                  <c:v>J Moss</c:v>
                </c:pt>
                <c:pt idx="9">
                  <c:v>K Friend</c:v>
                </c:pt>
                <c:pt idx="10">
                  <c:v>L Mason</c:v>
                </c:pt>
                <c:pt idx="11">
                  <c:v>L Probert</c:v>
                </c:pt>
                <c:pt idx="12">
                  <c:v>M Atkinson</c:v>
                </c:pt>
                <c:pt idx="13">
                  <c:v>M Clattenburg</c:v>
                </c:pt>
                <c:pt idx="14">
                  <c:v>M Dean</c:v>
                </c:pt>
                <c:pt idx="15">
                  <c:v>M Halsey</c:v>
                </c:pt>
                <c:pt idx="16">
                  <c:v>M Jones</c:v>
                </c:pt>
                <c:pt idx="17">
                  <c:v>M Oliver</c:v>
                </c:pt>
                <c:pt idx="18">
                  <c:v>M Riley</c:v>
                </c:pt>
                <c:pt idx="19">
                  <c:v>N Swarbrick</c:v>
                </c:pt>
                <c:pt idx="20">
                  <c:v>P Dowd</c:v>
                </c:pt>
                <c:pt idx="21">
                  <c:v>P Tierney</c:v>
                </c:pt>
                <c:pt idx="22">
                  <c:v>P Walton</c:v>
                </c:pt>
                <c:pt idx="23">
                  <c:v>R Styles</c:v>
                </c:pt>
                <c:pt idx="24">
                  <c:v>S Attwell</c:v>
                </c:pt>
                <c:pt idx="25">
                  <c:v>S Bennett</c:v>
                </c:pt>
              </c:strCache>
            </c:strRef>
          </c:cat>
          <c:val>
            <c:numRef>
              <c:f>'Referee Pivot Tables'!$D$67:$D$93</c:f>
              <c:numCache>
                <c:formatCode>General</c:formatCode>
                <c:ptCount val="26"/>
                <c:pt idx="0">
                  <c:v>646</c:v>
                </c:pt>
                <c:pt idx="1">
                  <c:v>538</c:v>
                </c:pt>
                <c:pt idx="2">
                  <c:v>351</c:v>
                </c:pt>
                <c:pt idx="3">
                  <c:v>401</c:v>
                </c:pt>
                <c:pt idx="4">
                  <c:v>174</c:v>
                </c:pt>
                <c:pt idx="5">
                  <c:v>376</c:v>
                </c:pt>
                <c:pt idx="6">
                  <c:v>253</c:v>
                </c:pt>
                <c:pt idx="7">
                  <c:v>555</c:v>
                </c:pt>
                <c:pt idx="8">
                  <c:v>468</c:v>
                </c:pt>
                <c:pt idx="9">
                  <c:v>469</c:v>
                </c:pt>
                <c:pt idx="10">
                  <c:v>484</c:v>
                </c:pt>
                <c:pt idx="11">
                  <c:v>264</c:v>
                </c:pt>
                <c:pt idx="12">
                  <c:v>815</c:v>
                </c:pt>
                <c:pt idx="13">
                  <c:v>518</c:v>
                </c:pt>
                <c:pt idx="14">
                  <c:v>989</c:v>
                </c:pt>
                <c:pt idx="15">
                  <c:v>284</c:v>
                </c:pt>
                <c:pt idx="16">
                  <c:v>360</c:v>
                </c:pt>
                <c:pt idx="17">
                  <c:v>521</c:v>
                </c:pt>
                <c:pt idx="18">
                  <c:v>345</c:v>
                </c:pt>
                <c:pt idx="19">
                  <c:v>220</c:v>
                </c:pt>
                <c:pt idx="20">
                  <c:v>629</c:v>
                </c:pt>
                <c:pt idx="21">
                  <c:v>212</c:v>
                </c:pt>
                <c:pt idx="22">
                  <c:v>278</c:v>
                </c:pt>
                <c:pt idx="23">
                  <c:v>321</c:v>
                </c:pt>
                <c:pt idx="24">
                  <c:v>283</c:v>
                </c:pt>
                <c:pt idx="25">
                  <c:v>419</c:v>
                </c:pt>
              </c:numCache>
            </c:numRef>
          </c:val>
          <c:extLst>
            <c:ext xmlns:c16="http://schemas.microsoft.com/office/drawing/2014/chart" uri="{C3380CC4-5D6E-409C-BE32-E72D297353CC}">
              <c16:uniqueId val="{00000001-C765-47EC-804C-3EBEF725BADA}"/>
            </c:ext>
          </c:extLst>
        </c:ser>
        <c:dLbls>
          <c:showLegendKey val="0"/>
          <c:showVal val="0"/>
          <c:showCatName val="0"/>
          <c:showSerName val="0"/>
          <c:showPercent val="0"/>
          <c:showBubbleSize val="0"/>
        </c:dLbls>
        <c:gapWidth val="150"/>
        <c:shape val="box"/>
        <c:axId val="1606677712"/>
        <c:axId val="1606674832"/>
        <c:axId val="0"/>
      </c:bar3DChart>
      <c:catAx>
        <c:axId val="16066777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674832"/>
        <c:crosses val="autoZero"/>
        <c:auto val="1"/>
        <c:lblAlgn val="ctr"/>
        <c:lblOffset val="100"/>
        <c:noMultiLvlLbl val="0"/>
      </c:catAx>
      <c:valAx>
        <c:axId val="160667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677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80" b="0" i="0" u="none" strike="noStrike" kern="1200" spc="0" baseline="0">
                <a:solidFill>
                  <a:schemeClr val="tx1">
                    <a:lumMod val="65000"/>
                    <a:lumOff val="35000"/>
                  </a:schemeClr>
                </a:solidFill>
                <a:latin typeface="+mn-lt"/>
                <a:ea typeface="+mn-ea"/>
                <a:cs typeface="+mn-cs"/>
              </a:defRPr>
            </a:pPr>
            <a:r>
              <a:rPr lang="en-US"/>
              <a:t>Pitch Sizes 2023/2024 Premier League</a:t>
            </a:r>
          </a:p>
        </c:rich>
      </c:tx>
      <c:overlay val="0"/>
      <c:spPr>
        <a:noFill/>
        <a:ln>
          <a:noFill/>
        </a:ln>
        <a:effectLst/>
      </c:spPr>
      <c:txPr>
        <a:bodyPr rot="0" spcFirstLastPara="1" vertOverflow="ellipsis" vert="horz" wrap="square" anchor="ctr" anchorCtr="1"/>
        <a:lstStyle/>
        <a:p>
          <a:pPr>
            <a:defRPr sz="28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'Pitch Size'!$C$1</c:f>
              <c:strCache>
                <c:ptCount val="1"/>
                <c:pt idx="0">
                  <c:v>Pitch Width (m)</c:v>
                </c:pt>
              </c:strCache>
            </c:strRef>
          </c:tx>
          <c:spPr>
            <a:ln w="38100" cap="rnd">
              <a:noFill/>
              <a:round/>
            </a:ln>
            <a:effectLst/>
          </c:spPr>
          <c:marker>
            <c:symbol val="x"/>
            <c:size val="14"/>
            <c:spPr>
              <a:noFill/>
              <a:ln w="9525">
                <a:solidFill>
                  <a:schemeClr val="accent1"/>
                </a:solidFill>
                <a:round/>
              </a:ln>
              <a:effectLst/>
            </c:spPr>
          </c:marker>
          <c:dLbls>
            <c:dLbl>
              <c:idx val="0"/>
              <c:tx>
                <c:rich>
                  <a:bodyPr/>
                  <a:lstStyle/>
                  <a:p>
                    <a:fld id="{537828CC-848A-49C8-B6BF-30B3627983F2}"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{537828CC-848A-49C8-B6BF-30B3627983F2}</c15:txfldGUID>
                      <c15:f>'Pitch Size'!$A$2</c15:f>
                      <c15:dlblFieldTableCache>
                        <c:ptCount val="1"/>
                        <c:pt idx="0">
                          <c:v>Nottingham Forest</c:v>
                        </c:pt>
                      </c15:dlblFieldTableCache>
                    </c15:dlblFTEntry>
                  </c15:dlblFieldTable>
                  <c15:showDataLabelsRange val="0"/>
                </c:ext>
                <c:ext xmlns:c16="http://schemas.microsoft.com/office/drawing/2014/chart" uri="{C3380CC4-5D6E-409C-BE32-E72D297353CC}">
                  <c16:uniqueId val="{00000011-D088-4928-82CE-FA9719556F98}"/>
                </c:ext>
              </c:extLst>
            </c:dLbl>
            <c:dLbl>
              <c:idx val="1"/>
              <c:tx>
                <c:rich>
                  <a:bodyPr/>
                  <a:lstStyle/>
                  <a:p>
                    <a:fld id="{7EDA5DBD-0109-48B7-B2B8-D8154247A92A}"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{7EDA5DBD-0109-48B7-B2B8-D8154247A92A}</c15:txfldGUID>
                      <c15:f>'Pitch Size'!$A$3</c15:f>
                      <c15:dlblFieldTableCache>
                        <c:ptCount val="1"/>
                        <c:pt idx="0">
                          <c:v>Everton</c:v>
                        </c:pt>
                      </c15:dlblFieldTableCache>
                    </c15:dlblFTEntry>
                  </c15:dlblFieldTable>
                  <c15:showDataLabelsRange val="0"/>
                </c:ext>
                <c:ext xmlns:c16="http://schemas.microsoft.com/office/drawing/2014/chart" uri="{C3380CC4-5D6E-409C-BE32-E72D297353CC}">
                  <c16:uniqueId val="{00000012-D088-4928-82CE-FA9719556F98}"/>
                </c:ext>
              </c:extLst>
            </c:dLbl>
            <c:dLbl>
              <c:idx val="2"/>
              <c:delete val="1"/>
              <c:extLst>
                <c:ext xmlns:c15="http://schemas.microsoft.com/office/drawing/2012/chart" uri="{CE6537A1-D6FC-4f65-9D91-7224C49458BB}"/>
                <c:ext xmlns:c16="http://schemas.microsoft.com/office/drawing/2014/chart" uri="{C3380CC4-5D6E-409C-BE32-E72D297353CC}">
                  <c16:uniqueId val="{0000000D-D088-4928-82CE-FA9719556F98}"/>
                </c:ext>
              </c:extLst>
            </c:dLbl>
            <c:dLbl>
              <c:idx val="3"/>
              <c:delete val="1"/>
              <c:extLst>
                <c:ext xmlns:c15="http://schemas.microsoft.com/office/drawing/2012/chart" uri="{CE6537A1-D6FC-4f65-9D91-7224C49458BB}"/>
                <c:ext xmlns:c16="http://schemas.microsoft.com/office/drawing/2014/chart" uri="{C3380CC4-5D6E-409C-BE32-E72D297353CC}">
                  <c16:uniqueId val="{0000000C-D088-4928-82CE-FA9719556F98}"/>
                </c:ext>
              </c:extLst>
            </c:dLbl>
            <c:dLbl>
              <c:idx val="4"/>
              <c:delete val="1"/>
              <c:extLst>
                <c:ext xmlns:c15="http://schemas.microsoft.com/office/drawing/2012/chart" uri="{CE6537A1-D6FC-4f65-9D91-7224C49458BB}"/>
                <c:ext xmlns:c16="http://schemas.microsoft.com/office/drawing/2014/chart" uri="{C3380CC4-5D6E-409C-BE32-E72D297353CC}">
                  <c16:uniqueId val="{0000000B-D088-4928-82CE-FA9719556F98}"/>
                </c:ext>
              </c:extLst>
            </c:dLbl>
            <c:dLbl>
              <c:idx val="5"/>
              <c:delete val="1"/>
              <c:extLst>
                <c:ext xmlns:c15="http://schemas.microsoft.com/office/drawing/2012/chart" uri="{CE6537A1-D6FC-4f65-9D91-7224C49458BB}"/>
                <c:ext xmlns:c16="http://schemas.microsoft.com/office/drawing/2014/chart" uri="{C3380CC4-5D6E-409C-BE32-E72D297353CC}">
                  <c16:uniqueId val="{0000000A-D088-4928-82CE-FA9719556F98}"/>
                </c:ext>
              </c:extLst>
            </c:dLbl>
            <c:dLbl>
              <c:idx val="6"/>
              <c:layout>
                <c:manualLayout>
                  <c:x val="-4.4739242620053118E-2"/>
                  <c:y val="0.18913099224665875"/>
                </c:manualLayout>
              </c:layout>
              <c:tx>
                <c:rich>
                  <a:bodyPr/>
                  <a:lstStyle/>
                  <a:p>
                    <a:fld id="{52789C76-7A89-4AF6-8D2F-DABAECA87AC2}" type="CELLREF">
                      <a:rPr lang="en-US"/>
                      <a:pPr/>
                      <a:t>[CELLREF]</a:t>
                    </a:fld>
                    <a:endParaRPr lang="en-US"/>
                  </a:p>
                </c:rich>
              </c:tx>
              <c:dLblPos val="r"/>
              <c:showLegendKey val="0"/>
              <c:showVal val="1"/>
              <c:showCatName val="0"/>
              <c:showSerName val="0"/>
              <c:showPercent val="0"/>
              <c:showBubbleSize val="0"/>
              <c:separator>, </c:separator>
              <c:extLst>
                <c:ext xmlns:c15="http://schemas.microsoft.com/office/drawing/2012/chart" uri="{CE6537A1-D6FC-4f65-9D91-7224C49458BB}">
                  <c15:layout>
                    <c:manualLayout>
                      <c:w val="0.26026399825021873"/>
                      <c:h val="0.49937518226888294"/>
                    </c:manualLayout>
                  </c15:layout>
                  <c15:dlblFieldTable>
                    <c15:dlblFTEntry>
                      <c15:txfldGUID>{52789C76-7A89-4AF6-8D2F-DABAECA87AC2}</c15:txfldGUID>
                      <c15:f>'Pitch Size'!$A$4:$A$15</c15:f>
                      <c15:dlblFieldTableCache>
                        <c:ptCount val="12"/>
                        <c:pt idx="0">
                          <c:v>Arsenal</c:v>
                        </c:pt>
                        <c:pt idx="1">
                          <c:v>Aston Villa</c:v>
                        </c:pt>
                        <c:pt idx="2">
                          <c:v>Bournemouth</c:v>
                        </c:pt>
                        <c:pt idx="3">
                          <c:v>Brentford</c:v>
                        </c:pt>
                        <c:pt idx="4">
                          <c:v>Brighton and Hove Albion</c:v>
                        </c:pt>
                        <c:pt idx="5">
                          <c:v>Burnley</c:v>
                        </c:pt>
                        <c:pt idx="6">
                          <c:v>Manchester City</c:v>
                        </c:pt>
                        <c:pt idx="7">
                          <c:v>Manchester United</c:v>
                        </c:pt>
                        <c:pt idx="8">
                          <c:v>Newcastle United</c:v>
                        </c:pt>
                        <c:pt idx="9">
                          <c:v>Tottenham Hotspur</c:v>
                        </c:pt>
                        <c:pt idx="10">
                          <c:v>West Ham United</c:v>
                        </c:pt>
                        <c:pt idx="11">
                          <c:v>Wolves</c:v>
                        </c:pt>
                      </c15:dlblFieldTableCache>
                    </c15:dlblFTEntry>
                  </c15:dlblFieldTable>
                  <c15:showDataLabelsRange val="0"/>
                </c:ext>
                <c:ext xmlns:c16="http://schemas.microsoft.com/office/drawing/2014/chart" uri="{C3380CC4-5D6E-409C-BE32-E72D297353CC}">
                  <c16:uniqueId val="{00000009-D088-4928-82CE-FA9719556F98}"/>
                </c:ext>
              </c:extLst>
            </c:dLbl>
            <c:dLbl>
              <c:idx val="7"/>
              <c:delete val="1"/>
              <c:extLst>
                <c:ext xmlns:c15="http://schemas.microsoft.com/office/drawing/2012/chart" uri="{CE6537A1-D6FC-4f65-9D91-7224C49458BB}"/>
                <c:ext xmlns:c16="http://schemas.microsoft.com/office/drawing/2014/chart" uri="{C3380CC4-5D6E-409C-BE32-E72D297353CC}">
                  <c16:uniqueId val="{00000008-D088-4928-82CE-FA9719556F98}"/>
                </c:ext>
              </c:extLst>
            </c:dLbl>
            <c:dLbl>
              <c:idx val="8"/>
              <c:delete val="1"/>
              <c:extLst>
                <c:ext xmlns:c15="http://schemas.microsoft.com/office/drawing/2012/chart" uri="{CE6537A1-D6FC-4f65-9D91-7224C49458BB}"/>
                <c:ext xmlns:c16="http://schemas.microsoft.com/office/drawing/2014/chart" uri="{C3380CC4-5D6E-409C-BE32-E72D297353CC}">
                  <c16:uniqueId val="{00000007-D088-4928-82CE-FA9719556F98}"/>
                </c:ext>
              </c:extLst>
            </c:dLbl>
            <c:dLbl>
              <c:idx val="9"/>
              <c:delete val="1"/>
              <c:extLst>
                <c:ext xmlns:c15="http://schemas.microsoft.com/office/drawing/2012/chart" uri="{CE6537A1-D6FC-4f65-9D91-7224C49458BB}"/>
                <c:ext xmlns:c16="http://schemas.microsoft.com/office/drawing/2014/chart" uri="{C3380CC4-5D6E-409C-BE32-E72D297353CC}">
                  <c16:uniqueId val="{00000006-D088-4928-82CE-FA9719556F98}"/>
                </c:ext>
              </c:extLst>
            </c:dLbl>
            <c:dLbl>
              <c:idx val="10"/>
              <c:delete val="1"/>
              <c:extLst>
                <c:ext xmlns:c15="http://schemas.microsoft.com/office/drawing/2012/chart" uri="{CE6537A1-D6FC-4f65-9D91-7224C49458BB}"/>
                <c:ext xmlns:c16="http://schemas.microsoft.com/office/drawing/2014/chart" uri="{C3380CC4-5D6E-409C-BE32-E72D297353CC}">
                  <c16:uniqueId val="{00000005-D088-4928-82CE-FA9719556F98}"/>
                </c:ext>
              </c:extLst>
            </c:dLbl>
            <c:dLbl>
              <c:idx val="11"/>
              <c:delete val="1"/>
              <c:extLst>
                <c:ext xmlns:c15="http://schemas.microsoft.com/office/drawing/2012/chart" uri="{CE6537A1-D6FC-4f65-9D91-7224C49458BB}"/>
                <c:ext xmlns:c16="http://schemas.microsoft.com/office/drawing/2014/chart" uri="{C3380CC4-5D6E-409C-BE32-E72D297353CC}">
                  <c16:uniqueId val="{00000004-D088-4928-82CE-FA9719556F98}"/>
                </c:ext>
              </c:extLst>
            </c:dLbl>
            <c:dLbl>
              <c:idx val="12"/>
              <c:delete val="1"/>
              <c:extLst>
                <c:ext xmlns:c15="http://schemas.microsoft.com/office/drawing/2012/chart" uri="{CE6537A1-D6FC-4f65-9D91-7224C49458BB}"/>
                <c:ext xmlns:c16="http://schemas.microsoft.com/office/drawing/2014/chart" uri="{C3380CC4-5D6E-409C-BE32-E72D297353CC}">
                  <c16:uniqueId val="{00000002-D088-4928-82CE-FA9719556F98}"/>
                </c:ext>
              </c:extLst>
            </c:dLbl>
            <c:dLbl>
              <c:idx val="13"/>
              <c:delete val="1"/>
              <c:extLst>
                <c:ext xmlns:c15="http://schemas.microsoft.com/office/drawing/2012/chart" uri="{CE6537A1-D6FC-4f65-9D91-7224C49458BB}"/>
                <c:ext xmlns:c16="http://schemas.microsoft.com/office/drawing/2014/chart" uri="{C3380CC4-5D6E-409C-BE32-E72D297353CC}">
                  <c16:uniqueId val="{00000001-D088-4928-82CE-FA9719556F98}"/>
                </c:ext>
              </c:extLst>
            </c:dLbl>
            <c:dLbl>
              <c:idx val="14"/>
              <c:tx>
                <c:rich>
                  <a:bodyPr/>
                  <a:lstStyle/>
                  <a:p>
                    <a:fld id="{4C96D899-C248-408A-B46C-FD823AFC0C10}"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{4C96D899-C248-408A-B46C-FD823AFC0C10}</c15:txfldGUID>
                      <c15:f>'Pitch Size'!$A$16</c15:f>
                      <c15:dlblFieldTableCache>
                        <c:ptCount val="1"/>
                        <c:pt idx="0">
                          <c:v>Chelsea</c:v>
                        </c:pt>
                      </c15:dlblFieldTableCache>
                    </c15:dlblFTEntry>
                  </c15:dlblFieldTable>
                  <c15:showDataLabelsRange val="0"/>
                </c:ext>
                <c:ext xmlns:c16="http://schemas.microsoft.com/office/drawing/2014/chart" uri="{C3380CC4-5D6E-409C-BE32-E72D297353CC}">
                  <c16:uniqueId val="{00000015-D088-4928-82CE-FA9719556F98}"/>
                </c:ext>
              </c:extLst>
            </c:dLbl>
            <c:dLbl>
              <c:idx val="15"/>
              <c:delete val="1"/>
              <c:extLst>
                <c:ext xmlns:c15="http://schemas.microsoft.com/office/drawing/2012/chart" uri="{CE6537A1-D6FC-4f65-9D91-7224C49458BB}"/>
                <c:ext xmlns:c16="http://schemas.microsoft.com/office/drawing/2014/chart" uri="{C3380CC4-5D6E-409C-BE32-E72D297353CC}">
                  <c16:uniqueId val="{00000010-D088-4928-82CE-FA9719556F98}"/>
                </c:ext>
              </c:extLst>
            </c:dLbl>
            <c:dLbl>
              <c:idx val="16"/>
              <c:layout>
                <c:manualLayout>
                  <c:x val="-0.18881188074840899"/>
                  <c:y val="-6.2031254713850494E-2"/>
                </c:manualLayout>
              </c:layout>
              <c:tx>
                <c:rich>
                  <a:bodyPr/>
                  <a:lstStyle/>
                  <a:p>
                    <a:fld id="{17D013C1-0F44-47EE-9A29-BA1D156695A4}" type="CELLREF">
                      <a:rPr lang="en-US"/>
                      <a:pPr/>
                      <a:t>[CELLREF]</a:t>
                    </a:fld>
                    <a:endParaRPr lang="en-US"/>
                  </a:p>
                </c:rich>
              </c:tx>
              <c:dLblPos val="r"/>
              <c:showLegendKey val="0"/>
              <c:showVal val="1"/>
              <c:showCatName val="0"/>
              <c:showSerName val="0"/>
              <c:showPercent val="0"/>
              <c:showBubbleSize val="0"/>
              <c:extLst>
                <c:ext xmlns:c15="http://schemas.microsoft.com/office/drawing/2012/chart" uri="{CE6537A1-D6FC-4f65-9D91-7224C49458BB}">
                  <c15:dlblFieldTable>
                    <c15:dlblFTEntry>
                      <c15:txfldGUID>{17D013C1-0F44-47EE-9A29-BA1D156695A4}</c15:txfldGUID>
                      <c15:f>'Pitch Size'!$A$17:$A$18</c15:f>
                      <c15:dlblFieldTableCache>
                        <c:ptCount val="2"/>
                        <c:pt idx="0">
                          <c:v>Liverpool</c:v>
                        </c:pt>
                        <c:pt idx="1">
                          <c:v>Sheffield United</c:v>
                        </c:pt>
                      </c15:dlblFieldTableCache>
                    </c15:dlblFTEntry>
                  </c15:dlblFieldTable>
                  <c15:showDataLabelsRange val="0"/>
                </c:ext>
                <c:ext xmlns:c16="http://schemas.microsoft.com/office/drawing/2014/chart" uri="{C3380CC4-5D6E-409C-BE32-E72D297353CC}">
                  <c16:uniqueId val="{0000000F-D088-4928-82CE-FA9719556F98}"/>
                </c:ext>
              </c:extLst>
            </c:dLbl>
            <c:dLbl>
              <c:idx val="17"/>
              <c:delete val="1"/>
              <c:extLst>
                <c:ext xmlns:c15="http://schemas.microsoft.com/office/drawing/2012/chart" uri="{CE6537A1-D6FC-4f65-9D91-7224C49458BB}"/>
                <c:ext xmlns:c16="http://schemas.microsoft.com/office/drawing/2014/chart" uri="{C3380CC4-5D6E-409C-BE32-E72D297353CC}">
                  <c16:uniqueId val="{0000000E-D088-4928-82CE-FA9719556F98}"/>
                </c:ext>
              </c:extLst>
            </c:dLbl>
            <c:dLbl>
              <c:idx val="18"/>
              <c:tx>
                <c:rich>
                  <a:bodyPr/>
                  <a:lstStyle/>
                  <a:p>
                    <a:fld id="{8AF608E8-4CE3-4DF1-88A9-9F7DA948C661}"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{8AF608E8-4CE3-4DF1-88A9-9F7DA948C661}</c15:txfldGUID>
                      <c15:f>'Pitch Size'!$A$20</c15:f>
                      <c15:dlblFieldTableCache>
                        <c:ptCount val="1"/>
                        <c:pt idx="0">
                          <c:v>Luton Town</c:v>
                        </c:pt>
                      </c15:dlblFieldTableCache>
                    </c15:dlblFTEntry>
                  </c15:dlblFieldTable>
                  <c15:showDataLabelsRange val="0"/>
                </c:ext>
                <c:ext xmlns:c16="http://schemas.microsoft.com/office/drawing/2014/chart" uri="{C3380CC4-5D6E-409C-BE32-E72D297353CC}">
                  <c16:uniqueId val="{00000013-D088-4928-82CE-FA9719556F98}"/>
                </c:ext>
              </c:extLst>
            </c:dLbl>
            <c:dLbl>
              <c:idx val="19"/>
              <c:tx>
                <c:rich>
                  <a:bodyPr/>
                  <a:lstStyle/>
                  <a:p>
                    <a:fld id="{C438A475-C458-4C75-9820-9380D6F58967}" type="CELLREF">
                      <a:rPr lang="en-US"/>
                      <a:pPr/>
                      <a:t>[CELLREF]</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dlblFTEntry>
                      <c15:txfldGUID>{C438A475-C458-4C75-9820-9380D6F58967}</c15:txfldGUID>
                      <c15:f>'Pitch Size'!$A$21</c15:f>
                      <c15:dlblFieldTableCache>
                        <c:ptCount val="1"/>
                        <c:pt idx="0">
                          <c:v>Fulham</c:v>
                        </c:pt>
                      </c15:dlblFieldTableCache>
                    </c15:dlblFTEntry>
                  </c15:dlblFieldTable>
                  <c15:showDataLabelsRange val="0"/>
                </c:ext>
                <c:ext xmlns:c16="http://schemas.microsoft.com/office/drawing/2014/chart" uri="{C3380CC4-5D6E-409C-BE32-E72D297353CC}">
                  <c16:uniqueId val="{00000014-D088-4928-82CE-FA9719556F98}"/>
                </c:ext>
              </c:extLst>
            </c:dLbl>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'Pitch Size'!$B$2:$B$21</c:f>
              <c:numCache>
                <c:formatCode>General</c:formatCode>
                <c:ptCount val="20"/>
                <c:pt idx="0">
                  <c:v>105</c:v>
                </c:pt>
                <c:pt idx="1">
                  <c:v>103</c:v>
                </c:pt>
                <c:pt idx="2">
                  <c:v>105</c:v>
                </c:pt>
                <c:pt idx="3">
                  <c:v>105</c:v>
                </c:pt>
                <c:pt idx="4">
                  <c:v>105</c:v>
                </c:pt>
                <c:pt idx="5">
                  <c:v>105</c:v>
                </c:pt>
                <c:pt idx="6">
                  <c:v>105</c:v>
                </c:pt>
                <c:pt idx="7">
                  <c:v>105</c:v>
                </c:pt>
                <c:pt idx="8">
                  <c:v>105</c:v>
                </c:pt>
                <c:pt idx="9">
                  <c:v>105</c:v>
                </c:pt>
                <c:pt idx="10">
                  <c:v>105</c:v>
                </c:pt>
                <c:pt idx="11">
                  <c:v>105</c:v>
                </c:pt>
                <c:pt idx="12">
                  <c:v>105</c:v>
                </c:pt>
                <c:pt idx="13">
                  <c:v>105</c:v>
                </c:pt>
                <c:pt idx="14">
                  <c:v>103</c:v>
                </c:pt>
                <c:pt idx="15">
                  <c:v>101</c:v>
                </c:pt>
                <c:pt idx="16">
                  <c:v>101</c:v>
                </c:pt>
                <c:pt idx="17">
                  <c:v>101</c:v>
                </c:pt>
                <c:pt idx="18">
                  <c:v>101</c:v>
                </c:pt>
                <c:pt idx="19">
                  <c:v>100</c:v>
                </c:pt>
              </c:numCache>
            </c:numRef>
          </c:xVal>
          <c:yVal>
            <c:numRef>
              <c:f>'Pitch Size'!$C$2:$C$21</c:f>
              <c:numCache>
                <c:formatCode>General</c:formatCode>
                <c:ptCount val="20"/>
                <c:pt idx="0">
                  <c:v>71</c:v>
                </c:pt>
                <c:pt idx="1">
                  <c:v>70</c:v>
                </c:pt>
                <c:pt idx="2">
                  <c:v>68</c:v>
                </c:pt>
                <c:pt idx="3">
                  <c:v>68</c:v>
                </c:pt>
                <c:pt idx="4">
                  <c:v>68</c:v>
                </c:pt>
                <c:pt idx="5">
                  <c:v>68</c:v>
                </c:pt>
                <c:pt idx="6">
                  <c:v>68</c:v>
                </c:pt>
                <c:pt idx="7">
                  <c:v>68</c:v>
                </c:pt>
                <c:pt idx="8">
                  <c:v>68</c:v>
                </c:pt>
                <c:pt idx="9">
                  <c:v>68</c:v>
                </c:pt>
                <c:pt idx="10">
                  <c:v>68</c:v>
                </c:pt>
                <c:pt idx="11">
                  <c:v>68</c:v>
                </c:pt>
                <c:pt idx="12">
                  <c:v>68</c:v>
                </c:pt>
                <c:pt idx="13">
                  <c:v>68</c:v>
                </c:pt>
                <c:pt idx="14">
                  <c:v>67</c:v>
                </c:pt>
                <c:pt idx="15">
                  <c:v>68</c:v>
                </c:pt>
                <c:pt idx="16">
                  <c:v>68</c:v>
                </c:pt>
                <c:pt idx="17">
                  <c:v>68</c:v>
                </c:pt>
                <c:pt idx="18">
                  <c:v>66</c:v>
                </c:pt>
                <c:pt idx="19">
                  <c:v>65</c:v>
                </c:pt>
              </c:numCache>
            </c:numRef>
          </c:yVal>
          <c:smooth val="0"/>
          <c:extLst>
            <c:ext xmlns:c16="http://schemas.microsoft.com/office/drawing/2014/chart" uri="{C3380CC4-5D6E-409C-BE32-E72D297353CC}">
              <c16:uniqueId val="{00000000-D088-4928-82CE-FA9719556F98}"/>
            </c:ext>
          </c:extLst>
        </c:ser>
        <c:dLbls>
          <c:dLblPos val="t"/>
          <c:showLegendKey val="0"/>
          <c:showVal val="1"/>
          <c:showCatName val="0"/>
          <c:showSerName val="0"/>
          <c:showPercent val="0"/>
          <c:showBubbleSize val="0"/>
        </c:dLbls>
        <c:axId val="1068611312"/>
        <c:axId val="1537857120"/>
      </c:scatterChart>
      <c:valAx>
        <c:axId val="1068611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r>
                  <a:rPr lang="en-US"/>
                  <a:t>Pitch Length</a:t>
                </a:r>
              </a:p>
            </c:rich>
          </c:tx>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537857120"/>
        <c:crosses val="autoZero"/>
        <c:crossBetween val="midCat"/>
      </c:valAx>
      <c:valAx>
        <c:axId val="1537857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r>
                  <a:rPr lang="en-US"/>
                  <a:t>Pitch Width</a:t>
                </a:r>
              </a:p>
            </c:rich>
          </c:tx>
          <c:overlay val="0"/>
          <c:spPr>
            <a:noFill/>
            <a:ln>
              <a:noFill/>
            </a:ln>
            <a:effectLst/>
          </c:spPr>
          <c:txPr>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0686113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4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[Figures_tableau.xlsm]Attendance Graph!PivotTable7</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a:t>Average Home Team Performance Vs Home Fan Attendance</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164316437631608E-2"/>
          <c:y val="0.21118407960199009"/>
          <c:w val="0.72016358791652946"/>
          <c:h val="0.55547929643122973"/>
        </c:manualLayout>
      </c:layout>
      <c:lineChart>
        <c:grouping val="standard"/>
        <c:varyColors val="0"/>
        <c:ser>
          <c:idx val="0"/>
          <c:order val="0"/>
          <c:tx>
            <c:strRef>
              <c:f>'Attendance Graph'!$B$3</c:f>
              <c:strCache>
                <c:ptCount val="1"/>
                <c:pt idx="0">
                  <c:v>% Duels Won</c:v>
                </c:pt>
              </c:strCache>
            </c:strRef>
          </c:tx>
          <c:spPr>
            <a:ln w="28575" cap="rnd">
              <a:solidFill>
                <a:schemeClr val="accent1"/>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Graph'!$B$4:$B$28</c:f>
              <c:numCache>
                <c:formatCode>General</c:formatCode>
                <c:ptCount val="25"/>
                <c:pt idx="0">
                  <c:v>51</c:v>
                </c:pt>
                <c:pt idx="1">
                  <c:v>50.35</c:v>
                </c:pt>
                <c:pt idx="2">
                  <c:v>43.233333333333327</c:v>
                </c:pt>
                <c:pt idx="3">
                  <c:v>56.825000000000003</c:v>
                </c:pt>
                <c:pt idx="4">
                  <c:v>47.233333333333327</c:v>
                </c:pt>
                <c:pt idx="5">
                  <c:v>54.8</c:v>
                </c:pt>
                <c:pt idx="6">
                  <c:v>30.7</c:v>
                </c:pt>
                <c:pt idx="7">
                  <c:v>58.35</c:v>
                </c:pt>
                <c:pt idx="8">
                  <c:v>40.9</c:v>
                </c:pt>
                <c:pt idx="9">
                  <c:v>40.733333333333327</c:v>
                </c:pt>
                <c:pt idx="10">
                  <c:v>49.644444444444446</c:v>
                </c:pt>
                <c:pt idx="11">
                  <c:v>60.199999999999996</c:v>
                </c:pt>
                <c:pt idx="12">
                  <c:v>51.558823529411768</c:v>
                </c:pt>
                <c:pt idx="13">
                  <c:v>63.6</c:v>
                </c:pt>
                <c:pt idx="14">
                  <c:v>50</c:v>
                </c:pt>
                <c:pt idx="15">
                  <c:v>54.525000000000006</c:v>
                </c:pt>
                <c:pt idx="16">
                  <c:v>49.954999999999998</c:v>
                </c:pt>
                <c:pt idx="17">
                  <c:v>47.81111111111111</c:v>
                </c:pt>
                <c:pt idx="18">
                  <c:v>47.695833333333333</c:v>
                </c:pt>
                <c:pt idx="19">
                  <c:v>48.629629629629626</c:v>
                </c:pt>
                <c:pt idx="20">
                  <c:v>48.95</c:v>
                </c:pt>
                <c:pt idx="21">
                  <c:v>52.471428571428575</c:v>
                </c:pt>
                <c:pt idx="22">
                  <c:v>51.300000000000018</c:v>
                </c:pt>
                <c:pt idx="23">
                  <c:v>50.963157894736831</c:v>
                </c:pt>
                <c:pt idx="24">
                  <c:v>52.927777777777777</c:v>
                </c:pt>
              </c:numCache>
            </c:numRef>
          </c:val>
          <c:smooth val="0"/>
          <c:extLst>
            <c:ext xmlns:c16="http://schemas.microsoft.com/office/drawing/2014/chart" uri="{C3380CC4-5D6E-409C-BE32-E72D297353CC}">
              <c16:uniqueId val="{00000000-73C9-4B7F-91CE-56A1DF884D6E}"/>
            </c:ext>
          </c:extLst>
        </c:ser>
        <c:ser>
          <c:idx val="1"/>
          <c:order val="1"/>
          <c:tx>
            <c:strRef>
              <c:f>'Attendance Graph'!$C$3</c:f>
              <c:strCache>
                <c:ptCount val="1"/>
                <c:pt idx="0">
                  <c:v>% Team Tackles Won</c:v>
                </c:pt>
              </c:strCache>
            </c:strRef>
          </c:tx>
          <c:spPr>
            <a:ln w="28575" cap="rnd">
              <a:solidFill>
                <a:schemeClr val="accent2"/>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Graph'!$C$4:$C$28</c:f>
              <c:numCache>
                <c:formatCode>General</c:formatCode>
                <c:ptCount val="25"/>
                <c:pt idx="0">
                  <c:v>59.4</c:v>
                </c:pt>
                <c:pt idx="1">
                  <c:v>70.2</c:v>
                </c:pt>
                <c:pt idx="2">
                  <c:v>64.166666666666671</c:v>
                </c:pt>
                <c:pt idx="3">
                  <c:v>54.8</c:v>
                </c:pt>
                <c:pt idx="4">
                  <c:v>51.383333333333333</c:v>
                </c:pt>
                <c:pt idx="5">
                  <c:v>63.6</c:v>
                </c:pt>
                <c:pt idx="6">
                  <c:v>75.95</c:v>
                </c:pt>
                <c:pt idx="7">
                  <c:v>54.15</c:v>
                </c:pt>
                <c:pt idx="8">
                  <c:v>64.3</c:v>
                </c:pt>
                <c:pt idx="9">
                  <c:v>49</c:v>
                </c:pt>
                <c:pt idx="10">
                  <c:v>55.666666666666664</c:v>
                </c:pt>
                <c:pt idx="11">
                  <c:v>54.9</c:v>
                </c:pt>
                <c:pt idx="12">
                  <c:v>65.20588235294116</c:v>
                </c:pt>
                <c:pt idx="13">
                  <c:v>56.3</c:v>
                </c:pt>
                <c:pt idx="14">
                  <c:v>35.700000000000003</c:v>
                </c:pt>
                <c:pt idx="15">
                  <c:v>58.679166666666674</c:v>
                </c:pt>
                <c:pt idx="16">
                  <c:v>54.42</c:v>
                </c:pt>
                <c:pt idx="17">
                  <c:v>54.477777777777781</c:v>
                </c:pt>
                <c:pt idx="18">
                  <c:v>58.079166666666673</c:v>
                </c:pt>
                <c:pt idx="19">
                  <c:v>58.981481481481481</c:v>
                </c:pt>
                <c:pt idx="20">
                  <c:v>59.181249999999999</c:v>
                </c:pt>
                <c:pt idx="21">
                  <c:v>58.06666666666667</c:v>
                </c:pt>
                <c:pt idx="22">
                  <c:v>59.884745762711859</c:v>
                </c:pt>
                <c:pt idx="23">
                  <c:v>60.71368421052631</c:v>
                </c:pt>
                <c:pt idx="24">
                  <c:v>60.311111111111131</c:v>
                </c:pt>
              </c:numCache>
            </c:numRef>
          </c:val>
          <c:smooth val="0"/>
          <c:extLst>
            <c:ext xmlns:c16="http://schemas.microsoft.com/office/drawing/2014/chart" uri="{C3380CC4-5D6E-409C-BE32-E72D297353CC}">
              <c16:uniqueId val="{00000001-73C9-4B7F-91CE-56A1DF884D6E}"/>
            </c:ext>
          </c:extLst>
        </c:ser>
        <c:ser>
          <c:idx val="2"/>
          <c:order val="2"/>
          <c:tx>
            <c:strRef>
              <c:f>'Attendance Graph'!$D$3</c:f>
              <c:strCache>
                <c:ptCount val="1"/>
                <c:pt idx="0">
                  <c:v>% Passes Completed</c:v>
                </c:pt>
              </c:strCache>
            </c:strRef>
          </c:tx>
          <c:spPr>
            <a:ln w="28575" cap="rnd">
              <a:solidFill>
                <a:schemeClr val="accent3"/>
              </a:solidFill>
              <a:round/>
            </a:ln>
            <a:effectLst/>
          </c:spPr>
          <c:marker>
            <c:symbol val="none"/>
          </c:marker>
          <c:cat>
            <c:strRef>
              <c:f>'Attendance Graph'!$A$4:$A$28</c:f>
              <c:strCache>
                <c:ptCount val="25"/>
                <c:pt idx="0">
                  <c:v>70.0</c:v>
                </c:pt>
                <c:pt idx="1">
                  <c:v>72.0</c:v>
                </c:pt>
                <c:pt idx="2">
                  <c:v>73.0</c:v>
                </c:pt>
                <c:pt idx="3">
                  <c:v>74.0</c:v>
                </c:pt>
                <c:pt idx="4">
                  <c:v>75.0</c:v>
                </c:pt>
                <c:pt idx="5">
                  <c:v>76.0</c:v>
                </c:pt>
                <c:pt idx="6">
                  <c:v>77.0</c:v>
                </c:pt>
                <c:pt idx="7">
                  <c:v>79.0</c:v>
                </c:pt>
                <c:pt idx="8">
                  <c:v>80.0</c:v>
                </c:pt>
                <c:pt idx="9">
                  <c:v>82.0</c:v>
                </c:pt>
                <c:pt idx="10">
                  <c:v>83.0</c:v>
                </c:pt>
                <c:pt idx="11">
                  <c:v>85.0</c:v>
                </c:pt>
                <c:pt idx="12">
                  <c:v>86.0</c:v>
                </c:pt>
                <c:pt idx="13">
                  <c:v>88.0</c:v>
                </c:pt>
                <c:pt idx="14">
                  <c:v>89.0</c:v>
                </c:pt>
                <c:pt idx="15">
                  <c:v>91.0</c:v>
                </c:pt>
                <c:pt idx="16">
                  <c:v>92.0</c:v>
                </c:pt>
                <c:pt idx="17">
                  <c:v>93.0</c:v>
                </c:pt>
                <c:pt idx="18">
                  <c:v>94.0</c:v>
                </c:pt>
                <c:pt idx="19">
                  <c:v>95.0</c:v>
                </c:pt>
                <c:pt idx="20">
                  <c:v>96.0</c:v>
                </c:pt>
                <c:pt idx="21">
                  <c:v>97.0</c:v>
                </c:pt>
                <c:pt idx="22">
                  <c:v>98.0</c:v>
                </c:pt>
                <c:pt idx="23">
                  <c:v>99.0</c:v>
                </c:pt>
                <c:pt idx="24">
                  <c:v>100.0</c:v>
                </c:pt>
              </c:strCache>
            </c:strRef>
          </c:cat>
          <c:val>
            <c:numRef>
              <c:f>'Attendance Graph'!$D$4:$D$28</c:f>
              <c:numCache>
                <c:formatCode>General</c:formatCode>
                <c:ptCount val="25"/>
                <c:pt idx="0">
                  <c:v>72.650000000000006</c:v>
                </c:pt>
                <c:pt idx="1">
                  <c:v>76.800000000000011</c:v>
                </c:pt>
                <c:pt idx="2">
                  <c:v>77.95</c:v>
                </c:pt>
                <c:pt idx="3">
                  <c:v>76.275000000000006</c:v>
                </c:pt>
                <c:pt idx="4">
                  <c:v>77.5</c:v>
                </c:pt>
                <c:pt idx="5">
                  <c:v>65.5</c:v>
                </c:pt>
                <c:pt idx="6">
                  <c:v>76.199999999999989</c:v>
                </c:pt>
                <c:pt idx="7">
                  <c:v>84.550000000000011</c:v>
                </c:pt>
                <c:pt idx="8">
                  <c:v>84.4</c:v>
                </c:pt>
                <c:pt idx="9">
                  <c:v>80.166666666666671</c:v>
                </c:pt>
                <c:pt idx="10">
                  <c:v>80.711111111111094</c:v>
                </c:pt>
                <c:pt idx="11">
                  <c:v>76.100000000000009</c:v>
                </c:pt>
                <c:pt idx="12">
                  <c:v>82.805882352941168</c:v>
                </c:pt>
                <c:pt idx="13">
                  <c:v>77.900000000000006</c:v>
                </c:pt>
                <c:pt idx="14">
                  <c:v>72.400000000000006</c:v>
                </c:pt>
                <c:pt idx="15">
                  <c:v>77.408333333333331</c:v>
                </c:pt>
                <c:pt idx="16">
                  <c:v>73.77000000000001</c:v>
                </c:pt>
                <c:pt idx="17">
                  <c:v>80.5</c:v>
                </c:pt>
                <c:pt idx="18">
                  <c:v>77.816666666666677</c:v>
                </c:pt>
                <c:pt idx="19">
                  <c:v>75.511111111111106</c:v>
                </c:pt>
                <c:pt idx="20">
                  <c:v>70.224999999999994</c:v>
                </c:pt>
                <c:pt idx="21">
                  <c:v>82.380952380952394</c:v>
                </c:pt>
                <c:pt idx="22">
                  <c:v>83.391525423728794</c:v>
                </c:pt>
                <c:pt idx="23">
                  <c:v>81.965263157894711</c:v>
                </c:pt>
                <c:pt idx="24">
                  <c:v>84.672222222222217</c:v>
                </c:pt>
              </c:numCache>
            </c:numRef>
          </c:val>
          <c:smooth val="0"/>
          <c:extLst>
            <c:ext xmlns:c16="http://schemas.microsoft.com/office/drawing/2014/chart" uri="{C3380CC4-5D6E-409C-BE32-E72D297353CC}">
              <c16:uniqueId val="{00000002-73C9-4B7F-91CE-56A1DF884D6E}"/>
            </c:ext>
          </c:extLst>
        </c:ser>
        <c:dLbls>
          <c:showLegendKey val="0"/>
          <c:showVal val="0"/>
          <c:showCatName val="0"/>
          <c:showSerName val="0"/>
          <c:showPercent val="0"/>
          <c:showBubbleSize val="0"/>
        </c:dLbls>
        <c:smooth val="0"/>
        <c:axId val="161812256"/>
        <c:axId val="161811776"/>
      </c:lineChart>
      <c:catAx>
        <c:axId val="161812256"/>
        <c:scaling>
          <c:orientation val="minMax"/>
        </c:scaling>
        <c:delete val="0"/>
        <c:axPos val="b"/>
        <c:majorGridlines>
          <c:spPr>
            <a:ln w="12700" cap="flat" cmpd="sng" algn="ctr">
              <a:solidFill>
                <a:schemeClr val="tx1"/>
              </a:solidFill>
              <a:round/>
            </a:ln>
            <a:effectLst/>
          </c:spPr>
        </c:majorGridlines>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a:t>% Attendance</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61811776"/>
        <c:crosses val="autoZero"/>
        <c:auto val="1"/>
        <c:lblAlgn val="ctr"/>
        <c:lblOffset val="100"/>
        <c:noMultiLvlLbl val="0"/>
      </c:catAx>
      <c:valAx>
        <c:axId val="161811776"/>
        <c:scaling>
          <c:orientation val="minMax"/>
          <c:max val="100"/>
        </c:scaling>
        <c:delete val="0"/>
        <c:axPos val="l"/>
        <c:majorGridlines>
          <c:spPr>
            <a:ln w="12700" cap="flat" cmpd="sng" algn="ctr">
              <a:solidFill>
                <a:schemeClr val="tx1"/>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a:t>%</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61812256"/>
        <c:crosses val="autoZero"/>
        <c:crossBetween val="between"/>
      </c:valAx>
      <c:spPr>
        <a:noFill/>
        <a:ln>
          <a:noFill/>
        </a:ln>
        <a:effectLst/>
      </c:spPr>
    </c:plotArea>
    <c:legend>
      <c:legendPos val="r"/>
      <c:layout>
        <c:manualLayout>
          <c:xMode val="edge"/>
          <c:yMode val="edge"/>
          <c:x val="0.79874215342854005"/>
          <c:y val="0.3744106240451287"/>
          <c:w val="0.19943788111640529"/>
          <c:h val="0.1782616685469707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image" Target="../media/image1.jpeg"/><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7</xdr:col>
      <xdr:colOff>1047750</xdr:colOff>
      <xdr:row>5</xdr:row>
      <xdr:rowOff>133350</xdr:rowOff>
    </xdr:from>
    <xdr:to>
      <xdr:col>9</xdr:col>
      <xdr:colOff>714375</xdr:colOff>
      <xdr:row>19</xdr:row>
      <xdr:rowOff>133350</xdr:rowOff>
    </xdr:to>
    <mc:AlternateContent xmlns:mc="http://schemas.openxmlformats.org/markup-compatibility/2006" xmlns:a14="http://schemas.microsoft.com/office/drawing/2010/main">
      <mc:Choice Requires="a14">
        <xdr:graphicFrame macro="">
          <xdr:nvGraphicFramePr>
            <xdr:cNvPr id="2" name="Season 1">
              <a:extLst>
                <a:ext uri="{FF2B5EF4-FFF2-40B4-BE49-F238E27FC236}">
                  <a16:creationId xmlns:a16="http://schemas.microsoft.com/office/drawing/2014/main" id="{041D200F-BF7C-8801-29B0-DB6CAD8CDCB2}"/>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5200650" y="10858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400050</xdr:colOff>
      <xdr:row>2</xdr:row>
      <xdr:rowOff>45720</xdr:rowOff>
    </xdr:from>
    <xdr:to>
      <xdr:col>20</xdr:col>
      <xdr:colOff>147692</xdr:colOff>
      <xdr:row>24</xdr:row>
      <xdr:rowOff>57149</xdr:rowOff>
    </xdr:to>
    <xdr:graphicFrame macro="">
      <xdr:nvGraphicFramePr>
        <xdr:cNvPr id="2" name="Chart 1">
          <a:extLst>
            <a:ext uri="{FF2B5EF4-FFF2-40B4-BE49-F238E27FC236}">
              <a16:creationId xmlns:a16="http://schemas.microsoft.com/office/drawing/2014/main" id="{AFDB1286-FC18-41D0-A613-F5B0F4C96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41131</xdr:colOff>
      <xdr:row>8</xdr:row>
      <xdr:rowOff>394749</xdr:rowOff>
    </xdr:from>
    <xdr:to>
      <xdr:col>38</xdr:col>
      <xdr:colOff>1794599</xdr:colOff>
      <xdr:row>29</xdr:row>
      <xdr:rowOff>381000</xdr:rowOff>
    </xdr:to>
    <xdr:graphicFrame macro="">
      <xdr:nvGraphicFramePr>
        <xdr:cNvPr id="8" name="Chart 7">
          <a:extLst>
            <a:ext uri="{FF2B5EF4-FFF2-40B4-BE49-F238E27FC236}">
              <a16:creationId xmlns:a16="http://schemas.microsoft.com/office/drawing/2014/main" id="{C08C5EA3-CB76-4BB8-82DE-31B9C89928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599640</xdr:colOff>
      <xdr:row>8</xdr:row>
      <xdr:rowOff>376667</xdr:rowOff>
    </xdr:from>
    <xdr:to>
      <xdr:col>5</xdr:col>
      <xdr:colOff>555771</xdr:colOff>
      <xdr:row>47</xdr:row>
      <xdr:rowOff>19389</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F8DDCEB2-0D2F-ED63-592A-430E1BC907C4}"/>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1205776" y="3563212"/>
              <a:ext cx="2380677" cy="15211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51955</xdr:colOff>
      <xdr:row>0</xdr:row>
      <xdr:rowOff>311727</xdr:rowOff>
    </xdr:from>
    <xdr:to>
      <xdr:col>7</xdr:col>
      <xdr:colOff>2164772</xdr:colOff>
      <xdr:row>8</xdr:row>
      <xdr:rowOff>22174</xdr:rowOff>
    </xdr:to>
    <xdr:pic>
      <xdr:nvPicPr>
        <xdr:cNvPr id="3" name="Picture 2" descr="The new Premier League logo is a bold move">
          <a:extLst>
            <a:ext uri="{FF2B5EF4-FFF2-40B4-BE49-F238E27FC236}">
              <a16:creationId xmlns:a16="http://schemas.microsoft.com/office/drawing/2014/main" id="{3AF92125-B947-7417-8BC0-5A2F6450C0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64228" y="311727"/>
          <a:ext cx="5160817" cy="28969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34637</xdr:colOff>
      <xdr:row>0</xdr:row>
      <xdr:rowOff>329045</xdr:rowOff>
    </xdr:from>
    <xdr:to>
      <xdr:col>7</xdr:col>
      <xdr:colOff>2147454</xdr:colOff>
      <xdr:row>8</xdr:row>
      <xdr:rowOff>39492</xdr:rowOff>
    </xdr:to>
    <xdr:pic>
      <xdr:nvPicPr>
        <xdr:cNvPr id="4" name="Picture 3" descr="The new Premier League logo is a bold move">
          <a:extLst>
            <a:ext uri="{FF2B5EF4-FFF2-40B4-BE49-F238E27FC236}">
              <a16:creationId xmlns:a16="http://schemas.microsoft.com/office/drawing/2014/main" id="{52736AD8-6FDB-8526-4410-339F1995CFB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6910" y="329045"/>
          <a:ext cx="5160817" cy="28969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554183</xdr:colOff>
      <xdr:row>0</xdr:row>
      <xdr:rowOff>311727</xdr:rowOff>
    </xdr:from>
    <xdr:to>
      <xdr:col>7</xdr:col>
      <xdr:colOff>2060863</xdr:colOff>
      <xdr:row>8</xdr:row>
      <xdr:rowOff>22174</xdr:rowOff>
    </xdr:to>
    <xdr:pic>
      <xdr:nvPicPr>
        <xdr:cNvPr id="6" name="Picture 5" descr="The new Premier League logo is a bold move">
          <a:extLst>
            <a:ext uri="{FF2B5EF4-FFF2-40B4-BE49-F238E27FC236}">
              <a16:creationId xmlns:a16="http://schemas.microsoft.com/office/drawing/2014/main" id="{99AE3A85-CEA7-81CA-0277-2E02E6B6CF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60319" y="311727"/>
          <a:ext cx="5160817" cy="28969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40</xdr:col>
          <xdr:colOff>495300</xdr:colOff>
          <xdr:row>6</xdr:row>
          <xdr:rowOff>0</xdr:rowOff>
        </xdr:from>
        <xdr:to>
          <xdr:col>44</xdr:col>
          <xdr:colOff>0</xdr:colOff>
          <xdr:row>8</xdr:row>
          <xdr:rowOff>257175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0" i="0" u="none" strike="noStrike" baseline="0">
                  <a:solidFill>
                    <a:srgbClr val="3366FF"/>
                  </a:solidFill>
                  <a:latin typeface="Aptos Narrow"/>
                </a:rPr>
                <a:t>Fouls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50</xdr:col>
          <xdr:colOff>342900</xdr:colOff>
          <xdr:row>8</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0" i="0" u="none" strike="noStrike" baseline="0">
                  <a:solidFill>
                    <a:srgbClr val="FFCC00"/>
                  </a:solidFill>
                  <a:latin typeface="Aptos Narrow"/>
                </a:rPr>
                <a:t>Yellows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219075</xdr:colOff>
          <xdr:row>6</xdr:row>
          <xdr:rowOff>0</xdr:rowOff>
        </xdr:from>
        <xdr:to>
          <xdr:col>56</xdr:col>
          <xdr:colOff>561975</xdr:colOff>
          <xdr:row>8</xdr:row>
          <xdr:rowOff>266700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0" i="0" u="none" strike="noStrike" baseline="0">
                  <a:solidFill>
                    <a:srgbClr val="FF0000"/>
                  </a:solidFill>
                  <a:latin typeface="Aptos Narrow"/>
                </a:rPr>
                <a:t>Reds</a:t>
              </a:r>
            </a:p>
          </xdr:txBody>
        </xdr:sp>
        <xdr:clientData fPrintsWithSheet="0"/>
      </xdr:twoCellAnchor>
    </mc:Choice>
    <mc:Fallback/>
  </mc:AlternateContent>
  <xdr:twoCellAnchor>
    <xdr:from>
      <xdr:col>5</xdr:col>
      <xdr:colOff>571501</xdr:colOff>
      <xdr:row>30</xdr:row>
      <xdr:rowOff>0</xdr:rowOff>
    </xdr:from>
    <xdr:to>
      <xdr:col>25</xdr:col>
      <xdr:colOff>571606</xdr:colOff>
      <xdr:row>45</xdr:row>
      <xdr:rowOff>357186</xdr:rowOff>
    </xdr:to>
    <xdr:graphicFrame macro="">
      <xdr:nvGraphicFramePr>
        <xdr:cNvPr id="11" name="Chart 10">
          <a:extLst>
            <a:ext uri="{FF2B5EF4-FFF2-40B4-BE49-F238E27FC236}">
              <a16:creationId xmlns:a16="http://schemas.microsoft.com/office/drawing/2014/main" id="{0AA10062-C1FC-4C41-B6A6-1C0C901C6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381000</xdr:colOff>
      <xdr:row>29</xdr:row>
      <xdr:rowOff>409574</xdr:rowOff>
    </xdr:from>
    <xdr:to>
      <xdr:col>61</xdr:col>
      <xdr:colOff>0</xdr:colOff>
      <xdr:row>45</xdr:row>
      <xdr:rowOff>331649</xdr:rowOff>
    </xdr:to>
    <xdr:graphicFrame macro="">
      <xdr:nvGraphicFramePr>
        <xdr:cNvPr id="5" name="Chart 4">
          <a:extLst>
            <a:ext uri="{FF2B5EF4-FFF2-40B4-BE49-F238E27FC236}">
              <a16:creationId xmlns:a16="http://schemas.microsoft.com/office/drawing/2014/main" id="{A457FDFE-57EC-474C-8EF0-ADE4551B9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1728786</xdr:colOff>
      <xdr:row>9</xdr:row>
      <xdr:rowOff>0</xdr:rowOff>
    </xdr:from>
    <xdr:to>
      <xdr:col>61</xdr:col>
      <xdr:colOff>-1</xdr:colOff>
      <xdr:row>29</xdr:row>
      <xdr:rowOff>389382</xdr:rowOff>
    </xdr:to>
    <xdr:graphicFrame macro="">
      <xdr:nvGraphicFramePr>
        <xdr:cNvPr id="10" name="fouls">
          <a:extLst>
            <a:ext uri="{FF2B5EF4-FFF2-40B4-BE49-F238E27FC236}">
              <a16:creationId xmlns:a16="http://schemas.microsoft.com/office/drawing/2014/main" id="{2D9D6839-C715-47BA-8BB7-B72026054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38</xdr:col>
      <xdr:colOff>1728786</xdr:colOff>
      <xdr:row>9</xdr:row>
      <xdr:rowOff>0</xdr:rowOff>
    </xdr:from>
    <xdr:to>
      <xdr:col>61</xdr:col>
      <xdr:colOff>51953</xdr:colOff>
      <xdr:row>29</xdr:row>
      <xdr:rowOff>389382</xdr:rowOff>
    </xdr:to>
    <xdr:graphicFrame macro="">
      <xdr:nvGraphicFramePr>
        <xdr:cNvPr id="7" name="yellows">
          <a:extLst>
            <a:ext uri="{FF2B5EF4-FFF2-40B4-BE49-F238E27FC236}">
              <a16:creationId xmlns:a16="http://schemas.microsoft.com/office/drawing/2014/main" id="{C95BFEFF-9655-4B66-AE10-443ABF2A66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1728786</xdr:colOff>
      <xdr:row>9</xdr:row>
      <xdr:rowOff>0</xdr:rowOff>
    </xdr:from>
    <xdr:to>
      <xdr:col>61</xdr:col>
      <xdr:colOff>34635</xdr:colOff>
      <xdr:row>29</xdr:row>
      <xdr:rowOff>346364</xdr:rowOff>
    </xdr:to>
    <xdr:graphicFrame macro="">
      <xdr:nvGraphicFramePr>
        <xdr:cNvPr id="9" name="Reds">
          <a:extLst>
            <a:ext uri="{FF2B5EF4-FFF2-40B4-BE49-F238E27FC236}">
              <a16:creationId xmlns:a16="http://schemas.microsoft.com/office/drawing/2014/main" id="{A80B8921-2E5F-42B9-A57F-548F179C9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0.13377</cdr:x>
      <cdr:y>0.41782</cdr:y>
    </cdr:from>
    <cdr:to>
      <cdr:x>0.88986</cdr:x>
      <cdr:y>0.4234</cdr:y>
    </cdr:to>
    <cdr:cxnSp macro="">
      <cdr:nvCxnSpPr>
        <cdr:cNvPr id="3" name="Straight Connector 2">
          <a:extLst xmlns:a="http://schemas.openxmlformats.org/drawingml/2006/main">
            <a:ext uri="{FF2B5EF4-FFF2-40B4-BE49-F238E27FC236}">
              <a16:creationId xmlns:a16="http://schemas.microsoft.com/office/drawing/2014/main" id="{125FA5E8-60D2-5B4B-B192-F5B3122A9188}"/>
            </a:ext>
          </a:extLst>
        </cdr:cNvPr>
        <cdr:cNvCxnSpPr/>
      </cdr:nvCxnSpPr>
      <cdr:spPr>
        <a:xfrm xmlns:a="http://schemas.openxmlformats.org/drawingml/2006/main" flipV="1">
          <a:off x="1955893" y="3571836"/>
          <a:ext cx="11054697" cy="47702"/>
        </a:xfrm>
        <a:prstGeom xmlns:a="http://schemas.openxmlformats.org/drawingml/2006/main" prst="line">
          <a:avLst/>
        </a:prstGeom>
        <a:ln xmlns:a="http://schemas.openxmlformats.org/drawingml/2006/main" w="76200" cap="flat" cmpd="sng" algn="ctr">
          <a:solidFill>
            <a:schemeClr val="dk1"/>
          </a:solidFill>
          <a:prstDash val="dash"/>
          <a:round/>
          <a:headEnd type="none" w="med" len="med"/>
          <a:tailEnd type="none" w="med" len="me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0.13377</cdr:x>
      <cdr:y>0.41782</cdr:y>
    </cdr:from>
    <cdr:to>
      <cdr:x>0.88986</cdr:x>
      <cdr:y>0.4234</cdr:y>
    </cdr:to>
    <cdr:cxnSp macro="">
      <cdr:nvCxnSpPr>
        <cdr:cNvPr id="5" name="Straight Connector 2">
          <a:extLst xmlns:a="http://schemas.openxmlformats.org/drawingml/2006/main">
            <a:ext uri="{FF2B5EF4-FFF2-40B4-BE49-F238E27FC236}">
              <a16:creationId xmlns:a16="http://schemas.microsoft.com/office/drawing/2014/main" id="{125FA5E8-60D2-5B4B-B192-F5B3122A9188}"/>
            </a:ext>
          </a:extLst>
        </cdr:cNvPr>
        <cdr:cNvCxnSpPr/>
      </cdr:nvCxnSpPr>
      <cdr:spPr>
        <a:xfrm xmlns:a="http://schemas.openxmlformats.org/drawingml/2006/main" flipV="1">
          <a:off x="1955893" y="3571836"/>
          <a:ext cx="11054697" cy="47702"/>
        </a:xfrm>
        <a:prstGeom xmlns:a="http://schemas.openxmlformats.org/drawingml/2006/main" prst="line">
          <a:avLst/>
        </a:prstGeom>
        <a:ln xmlns:a="http://schemas.openxmlformats.org/drawingml/2006/main" w="76200" cap="flat" cmpd="sng" algn="ctr">
          <a:solidFill>
            <a:schemeClr val="dk1"/>
          </a:solidFill>
          <a:prstDash val="dash"/>
          <a:round/>
          <a:headEnd type="none" w="med" len="med"/>
          <a:tailEnd type="none" w="med" len="me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0.13377</cdr:x>
      <cdr:y>0.41782</cdr:y>
    </cdr:from>
    <cdr:to>
      <cdr:x>0.88986</cdr:x>
      <cdr:y>0.4234</cdr:y>
    </cdr:to>
    <cdr:cxnSp macro="">
      <cdr:nvCxnSpPr>
        <cdr:cNvPr id="3" name="Straight Connector 2">
          <a:extLst xmlns:a="http://schemas.openxmlformats.org/drawingml/2006/main">
            <a:ext uri="{FF2B5EF4-FFF2-40B4-BE49-F238E27FC236}">
              <a16:creationId xmlns:a16="http://schemas.microsoft.com/office/drawing/2014/main" id="{125FA5E8-60D2-5B4B-B192-F5B3122A9188}"/>
            </a:ext>
          </a:extLst>
        </cdr:cNvPr>
        <cdr:cNvCxnSpPr/>
      </cdr:nvCxnSpPr>
      <cdr:spPr>
        <a:xfrm xmlns:a="http://schemas.openxmlformats.org/drawingml/2006/main" flipV="1">
          <a:off x="1955893" y="3571836"/>
          <a:ext cx="11054697" cy="47702"/>
        </a:xfrm>
        <a:prstGeom xmlns:a="http://schemas.openxmlformats.org/drawingml/2006/main" prst="line">
          <a:avLst/>
        </a:prstGeom>
        <a:ln xmlns:a="http://schemas.openxmlformats.org/drawingml/2006/main" w="76200" cap="flat" cmpd="sng" algn="ctr">
          <a:solidFill>
            <a:schemeClr val="dk1"/>
          </a:solidFill>
          <a:prstDash val="dash"/>
          <a:round/>
          <a:headEnd type="none" w="med" len="med"/>
          <a:tailEnd type="none" w="med" len="me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cxnSp>
  </cdr:relSizeAnchor>
</c:userShapes>
</file>

<file path=xl/drawings/drawing7.xml><?xml version="1.0" encoding="utf-8"?>
<xdr:wsDr xmlns:xdr="http://schemas.openxmlformats.org/drawingml/2006/spreadsheetDrawing" xmlns:a="http://schemas.openxmlformats.org/drawingml/2006/main">
  <xdr:twoCellAnchor>
    <xdr:from>
      <xdr:col>8</xdr:col>
      <xdr:colOff>180974</xdr:colOff>
      <xdr:row>30</xdr:row>
      <xdr:rowOff>47625</xdr:rowOff>
    </xdr:from>
    <xdr:to>
      <xdr:col>20</xdr:col>
      <xdr:colOff>323849</xdr:colOff>
      <xdr:row>53</xdr:row>
      <xdr:rowOff>47625</xdr:rowOff>
    </xdr:to>
    <xdr:graphicFrame macro="">
      <xdr:nvGraphicFramePr>
        <xdr:cNvPr id="6" name="Reds">
          <a:extLst>
            <a:ext uri="{FF2B5EF4-FFF2-40B4-BE49-F238E27FC236}">
              <a16:creationId xmlns:a16="http://schemas.microsoft.com/office/drawing/2014/main" id="{DEE7205F-7C32-598C-4E3F-D42B75C07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323849</xdr:colOff>
      <xdr:row>1</xdr:row>
      <xdr:rowOff>142875</xdr:rowOff>
    </xdr:from>
    <xdr:to>
      <xdr:col>9</xdr:col>
      <xdr:colOff>523874</xdr:colOff>
      <xdr:row>23</xdr:row>
      <xdr:rowOff>47625</xdr:rowOff>
    </xdr:to>
    <xdr:graphicFrame macro="">
      <xdr:nvGraphicFramePr>
        <xdr:cNvPr id="4" name="fouls">
          <a:extLst>
            <a:ext uri="{FF2B5EF4-FFF2-40B4-BE49-F238E27FC236}">
              <a16:creationId xmlns:a16="http://schemas.microsoft.com/office/drawing/2014/main" id="{07D8E431-97DA-2E62-56B9-E42E688B9E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457200</xdr:colOff>
      <xdr:row>63</xdr:row>
      <xdr:rowOff>38100</xdr:rowOff>
    </xdr:from>
    <xdr:to>
      <xdr:col>8</xdr:col>
      <xdr:colOff>400050</xdr:colOff>
      <xdr:row>77</xdr:row>
      <xdr:rowOff>114300</xdr:rowOff>
    </xdr:to>
    <xdr:graphicFrame macro="">
      <xdr:nvGraphicFramePr>
        <xdr:cNvPr id="8" name="Chart 7">
          <a:extLst>
            <a:ext uri="{FF2B5EF4-FFF2-40B4-BE49-F238E27FC236}">
              <a16:creationId xmlns:a16="http://schemas.microsoft.com/office/drawing/2014/main" id="{B3F1E655-7CC5-F13F-C9C7-680E869F2A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190499</xdr:colOff>
      <xdr:row>6</xdr:row>
      <xdr:rowOff>9524</xdr:rowOff>
    </xdr:from>
    <xdr:to>
      <xdr:col>18</xdr:col>
      <xdr:colOff>200025</xdr:colOff>
      <xdr:row>30</xdr:row>
      <xdr:rowOff>38099</xdr:rowOff>
    </xdr:to>
    <xdr:graphicFrame macro="">
      <xdr:nvGraphicFramePr>
        <xdr:cNvPr id="3" name="Chart 2">
          <a:extLst>
            <a:ext uri="{FF2B5EF4-FFF2-40B4-BE49-F238E27FC236}">
              <a16:creationId xmlns:a16="http://schemas.microsoft.com/office/drawing/2014/main" id="{4C26A824-307B-7015-3A78-70A2D9C38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266700</xdr:colOff>
      <xdr:row>14</xdr:row>
      <xdr:rowOff>76200</xdr:rowOff>
    </xdr:from>
    <xdr:to>
      <xdr:col>24</xdr:col>
      <xdr:colOff>304800</xdr:colOff>
      <xdr:row>48</xdr:row>
      <xdr:rowOff>47625</xdr:rowOff>
    </xdr:to>
    <xdr:graphicFrame macro="">
      <xdr:nvGraphicFramePr>
        <xdr:cNvPr id="2" name="Chart 1">
          <a:extLst>
            <a:ext uri="{FF2B5EF4-FFF2-40B4-BE49-F238E27FC236}">
              <a16:creationId xmlns:a16="http://schemas.microsoft.com/office/drawing/2014/main" id="{BB3E4D4F-16C3-7F65-7AD8-DBBE7E0F0F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een" refreshedDate="45477.775175694442" createdVersion="8" refreshedVersion="8" minRefreshableVersion="3" recordCount="626" xr:uid="{EDED9436-1EBC-43FB-9FDF-DFBA58EC2B09}">
  <cacheSource type="worksheet">
    <worksheetSource name="Table1"/>
  </cacheSource>
  <cacheFields count="11">
    <cacheField name="Team" numFmtId="0">
      <sharedItems count="50">
        <s v="Manchester Utd"/>
        <s v="Aston Villa"/>
        <s v="Norwich City"/>
        <s v="Blackburn"/>
        <s v="QPR"/>
        <s v="Tottenham"/>
        <s v="Liverpool"/>
        <s v="Sheffield Weds"/>
        <s v="Manchester City"/>
        <s v="Arsenal"/>
        <s v="Chelsea"/>
        <s v="Wimbledon"/>
        <s v="Everton"/>
        <s v="Ipswich Town"/>
        <s v="Sheffield Utd"/>
        <s v="Coventry City"/>
        <s v="Leeds United"/>
        <s v="Southampton"/>
        <s v="Crystal Palace"/>
        <s v="Oldham Athletic"/>
        <s v="Middlesbrough"/>
        <s v="Nott'ham Forest"/>
        <s v="Newcastle Utd"/>
        <s v="West Ham"/>
        <s v="Swindon Town"/>
        <s v="Leicester City"/>
        <s v="Bolton"/>
        <s v="Derby County"/>
        <s v="Sunderland"/>
        <s v="Barnsley"/>
        <s v="Charlton Ath"/>
        <s v="Bradford City"/>
        <s v="Watford"/>
        <s v="Fulham"/>
        <s v="Birmingham City"/>
        <s v="West Brom"/>
        <s v="Portsmouth"/>
        <s v="Wolves"/>
        <s v="Wigan Athletic"/>
        <s v="Reading"/>
        <s v="Stoke City"/>
        <s v="Hull City"/>
        <s v="Burnley"/>
        <s v="Blackpool"/>
        <s v="Swansea City"/>
        <s v="Cardiff City"/>
        <s v="Bournemouth"/>
        <s v="Brighton"/>
        <s v="Huddersfield"/>
        <s v="Brentford"/>
      </sharedItems>
    </cacheField>
    <cacheField name="Season" numFmtId="0">
      <sharedItems containsSemiMixedTypes="0" containsString="0" containsNumber="1" containsInteger="1" minValue="1993" maxValue="2023" count="31">
        <n v="1993"/>
        <n v="1994"/>
        <n v="1995"/>
        <n v="1996"/>
        <n v="1997"/>
        <n v="1998"/>
        <n v="1999"/>
        <n v="2000"/>
        <n v="2001"/>
        <n v="2002"/>
        <n v="2003"/>
        <n v="2004"/>
        <n v="2005"/>
        <n v="2006"/>
        <n v="2007"/>
        <n v="2008"/>
        <n v="2009"/>
        <n v="2010"/>
        <n v="2011"/>
        <n v="2012"/>
        <n v="2013"/>
        <n v="2014"/>
        <n v="2015"/>
        <n v="2016"/>
        <n v="2017"/>
        <n v="2018"/>
        <n v="2019"/>
        <n v="2020"/>
        <n v="2021"/>
        <n v="2022"/>
        <n v="2023"/>
      </sharedItems>
    </cacheField>
    <cacheField name="Home Wins" numFmtId="0">
      <sharedItems containsSemiMixedTypes="0" containsString="0" containsNumber="1" containsInteger="1" minValue="1" maxValue="18" count="18">
        <n v="14"/>
        <n v="13"/>
        <n v="11"/>
        <n v="9"/>
        <n v="7"/>
        <n v="8"/>
        <n v="10"/>
        <n v="12"/>
        <n v="6"/>
        <n v="4"/>
        <n v="5"/>
        <n v="17"/>
        <n v="16"/>
        <n v="15"/>
        <n v="3"/>
        <n v="2"/>
        <n v="18"/>
        <n v="1"/>
      </sharedItems>
    </cacheField>
    <cacheField name="Home Draws" numFmtId="0">
      <sharedItems containsSemiMixedTypes="0" containsString="0" containsNumber="1" containsInteger="1" minValue="0" maxValue="10"/>
    </cacheField>
    <cacheField name="Home Losses" numFmtId="0">
      <sharedItems containsSemiMixedTypes="0" containsString="0" containsNumber="1" containsInteger="1" minValue="0" maxValue="15"/>
    </cacheField>
    <cacheField name="Home GD" numFmtId="0">
      <sharedItems containsSemiMixedTypes="0" containsString="0" containsNumber="1" containsInteger="1" minValue="-31" maxValue="54"/>
    </cacheField>
    <cacheField name="Away Wins" numFmtId="0">
      <sharedItems containsSemiMixedTypes="0" containsString="0" containsNumber="1" containsInteger="1" minValue="0" maxValue="16"/>
    </cacheField>
    <cacheField name="Away Draws" numFmtId="0">
      <sharedItems containsSemiMixedTypes="0" containsString="0" containsNumber="1" containsInteger="1" minValue="0" maxValue="12"/>
    </cacheField>
    <cacheField name="Away Losses" numFmtId="0">
      <sharedItems containsSemiMixedTypes="0" containsString="0" containsNumber="1" containsInteger="1" minValue="0" maxValue="17"/>
    </cacheField>
    <cacheField name="Away GD" numFmtId="0">
      <sharedItems containsSemiMixedTypes="0" containsString="0" containsNumber="1" containsInteger="1" minValue="-47" maxValue="32"/>
    </cacheField>
    <cacheField name="Points"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16524632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een" refreshedDate="45510.576535879627" createdVersion="8" refreshedVersion="8" minRefreshableVersion="3" recordCount="26" xr:uid="{6DD52A02-3DC8-4EA4-AE96-FEC04892E37F}">
  <cacheSource type="worksheet">
    <worksheetSource ref="A1:G27" sheet="Referee Card Data"/>
  </cacheSource>
  <cacheFields count="7">
    <cacheField name="Referee" numFmtId="0">
      <sharedItems count="26">
        <s v="M Riley"/>
        <s v="H Webb"/>
        <s v="A Marriner"/>
        <s v="C Foy"/>
        <s v="M Oliver"/>
        <s v="L Probert"/>
        <s v="M Dean"/>
        <s v="C Kavanagh"/>
        <s v="L Mason"/>
        <s v="S Bennett"/>
        <s v="P Dowd"/>
        <s v="M Halsey"/>
        <s v="J Moss"/>
        <s v="S Attwell"/>
        <s v="K Friend"/>
        <s v="A Taylor"/>
        <s v="M Clattenburg"/>
        <s v="C Pawson"/>
        <s v="M Jones"/>
        <s v="P Walton"/>
        <s v="A Wiley"/>
        <s v="M Atkinson"/>
        <s v="G Poll"/>
        <s v="N Swarbrick"/>
        <s v="R Styles"/>
        <s v="P Tierney"/>
      </sharedItems>
    </cacheField>
    <cacheField name="Home Fouls" numFmtId="0">
      <sharedItems containsSemiMixedTypes="0" containsString="0" containsNumber="1" containsInteger="1" minValue="1046" maxValue="5889" count="26">
        <n v="2418"/>
        <n v="3510"/>
        <n v="3888"/>
        <n v="2840"/>
        <n v="3434"/>
        <n v="1829"/>
        <n v="5889"/>
        <n v="1046"/>
        <n v="3106"/>
        <n v="2499"/>
        <n v="3646"/>
        <n v="2379"/>
        <n v="2833"/>
        <n v="1610"/>
        <n v="2877"/>
        <n v="3380"/>
        <n v="3270"/>
        <n v="2277"/>
        <n v="2256"/>
        <n v="1746"/>
        <n v="2657"/>
        <n v="4815"/>
        <n v="1909"/>
        <n v="1337"/>
        <n v="1892"/>
        <n v="1377"/>
      </sharedItems>
    </cacheField>
    <cacheField name="Away Fouls" numFmtId="0">
      <sharedItems containsSemiMixedTypes="0" containsString="0" containsNumber="1" containsInteger="1" minValue="1062" maxValue="5905" count="26">
        <n v="2447"/>
        <n v="3597"/>
        <n v="3979"/>
        <n v="2962"/>
        <n v="3520"/>
        <n v="2016"/>
        <n v="5905"/>
        <n v="1062"/>
        <n v="3300"/>
        <n v="2571"/>
        <n v="3983"/>
        <n v="2589"/>
        <n v="2931"/>
        <n v="1575"/>
        <n v="2933"/>
        <n v="3177"/>
        <n v="3332"/>
        <n v="2295"/>
        <n v="2471"/>
        <n v="1870"/>
        <n v="2718"/>
        <n v="5223"/>
        <n v="1934"/>
        <n v="1425"/>
        <n v="2035"/>
        <n v="1393"/>
      </sharedItems>
    </cacheField>
    <cacheField name="Home Yellows" numFmtId="0">
      <sharedItems containsSemiMixedTypes="0" containsString="0" containsNumber="1" containsInteger="1" minValue="158" maxValue="942"/>
    </cacheField>
    <cacheField name="Away Yellows" numFmtId="0">
      <sharedItems containsSemiMixedTypes="0" containsString="0" containsNumber="1" containsInteger="1" minValue="174" maxValue="989"/>
    </cacheField>
    <cacheField name="Home Reds" numFmtId="0">
      <sharedItems containsSemiMixedTypes="0" containsString="0" containsNumber="1" containsInteger="1" minValue="3" maxValue="38" count="19">
        <n v="19"/>
        <n v="12"/>
        <n v="22"/>
        <n v="10"/>
        <n v="38"/>
        <n v="6"/>
        <n v="14"/>
        <n v="11"/>
        <n v="23"/>
        <n v="16"/>
        <n v="3"/>
        <n v="24"/>
        <n v="30"/>
        <n v="13"/>
        <n v="7"/>
        <n v="9"/>
        <n v="8"/>
        <n v="29"/>
        <n v="20"/>
      </sharedItems>
    </cacheField>
    <cacheField name="Away Reds" numFmtId="0">
      <sharedItems containsSemiMixedTypes="0" containsString="0" containsNumber="1" containsInteger="1" minValue="3" maxValue="70"/>
    </cacheField>
  </cacheFields>
  <extLst>
    <ext xmlns:x14="http://schemas.microsoft.com/office/spreadsheetml/2009/9/main" uri="{725AE2AE-9491-48be-B2B4-4EB974FC3084}">
      <x14:pivotCacheDefinition pivotCacheId="179980630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een" refreshedDate="45535.717233912037" createdVersion="8" refreshedVersion="8" minRefreshableVersion="3" recordCount="375" xr:uid="{FC52FCBD-20B2-4E9E-9624-2A5048186BB9}">
  <cacheSource type="worksheet">
    <worksheetSource ref="E1:AC376" sheet="Attendance Data"/>
  </cacheSource>
  <cacheFields count="25">
    <cacheField name="Home Team" numFmtId="0">
      <sharedItems count="20">
        <s v="Arsenal"/>
        <s v="Aston Villa"/>
        <s v="Brentford"/>
        <s v="Chelsea"/>
        <s v="Crystal Palace"/>
        <s v="Everton"/>
        <s v="Leeds United"/>
        <s v="Leicester City"/>
        <s v="Manchester United"/>
        <s v="Southampton"/>
        <s v="Brighton and Hove Albion"/>
        <s v="Newcastle United"/>
        <s v="West Ham United"/>
        <s v="Manchester City"/>
        <s v="Tottenham Hotspur"/>
        <s v="Bournemouth"/>
        <s v="Fulham"/>
        <s v="Liverpool"/>
        <s v="Wolverhampton Wanderers"/>
        <s v="Nottingham Forest"/>
      </sharedItems>
    </cacheField>
    <cacheField name="Goals Home" numFmtId="0">
      <sharedItems containsSemiMixedTypes="0" containsString="0" containsNumber="1" containsInteger="1" minValue="0" maxValue="9"/>
    </cacheField>
    <cacheField name="Away Team" numFmtId="0">
      <sharedItems count="20">
        <s v="Wolverhampton Wanderers"/>
        <s v="Brighton and Hove Albion"/>
        <s v="Manchester City"/>
        <s v="Newcastle United"/>
        <s v="Nottingham Forest"/>
        <s v="Bournemouth"/>
        <s v="Tottenham Hotspur"/>
        <s v="West Ham United"/>
        <s v="Fulham"/>
        <s v="Liverpool"/>
        <s v="Chelsea"/>
        <s v="Leicester City"/>
        <s v="Leeds United"/>
        <s v="Southampton"/>
        <s v="Brentford"/>
        <s v="Manchester United"/>
        <s v="Crystal Palace"/>
        <s v="Aston Villa"/>
        <s v="Everton"/>
        <s v="Arsenal"/>
      </sharedItems>
    </cacheField>
    <cacheField name="Away Goals" numFmtId="0">
      <sharedItems containsSemiMixedTypes="0" containsString="0" containsNumber="1" containsInteger="1" minValue="0" maxValue="6"/>
    </cacheField>
    <cacheField name="home_possessions" numFmtId="0">
      <sharedItems containsSemiMixedTypes="0" containsString="0" containsNumber="1" minValue="18.3" maxValue="80.900000000000006"/>
    </cacheField>
    <cacheField name="away_possessions" numFmtId="0">
      <sharedItems containsSemiMixedTypes="0" containsString="0" containsNumber="1" minValue="19.100000000000001" maxValue="81.7"/>
    </cacheField>
    <cacheField name="home_shots" numFmtId="0">
      <sharedItems containsSemiMixedTypes="0" containsString="0" containsNumber="1" containsInteger="1" minValue="1" maxValue="33"/>
    </cacheField>
    <cacheField name="away_shots" numFmtId="0">
      <sharedItems containsSemiMixedTypes="0" containsString="0" containsNumber="1" containsInteger="1" minValue="1" maxValue="30"/>
    </cacheField>
    <cacheField name="home_on target" numFmtId="0">
      <sharedItems containsSemiMixedTypes="0" containsString="0" containsNumber="1" containsInteger="1" minValue="0" maxValue="15"/>
    </cacheField>
    <cacheField name="away_on target" numFmtId="0">
      <sharedItems containsSemiMixedTypes="0" containsString="0" containsNumber="1" containsInteger="1" minValue="0" maxValue="11"/>
    </cacheField>
    <cacheField name="home_off target" numFmtId="0">
      <sharedItems containsSemiMixedTypes="0" containsString="0" containsNumber="1" containsInteger="1" minValue="0" maxValue="15"/>
    </cacheField>
    <cacheField name="away_off target" numFmtId="0">
      <sharedItems containsSemiMixedTypes="0" containsString="0" containsNumber="1" containsInteger="1" minValue="0" maxValue="12"/>
    </cacheField>
    <cacheField name="home_blocked" numFmtId="0">
      <sharedItems containsSemiMixedTypes="0" containsString="0" containsNumber="1" containsInteger="1" minValue="0" maxValue="14"/>
    </cacheField>
    <cacheField name="away_blocked" numFmtId="0">
      <sharedItems containsSemiMixedTypes="0" containsString="0" containsNumber="1" containsInteger="1" minValue="0" maxValue="12"/>
    </cacheField>
    <cacheField name="home_pass" numFmtId="0">
      <sharedItems containsSemiMixedTypes="0" containsString="0" containsNumber="1" minValue="49.7" maxValue="93.2"/>
    </cacheField>
    <cacheField name="away_pass" numFmtId="0">
      <sharedItems containsSemiMixedTypes="0" containsString="0" containsNumber="1" minValue="56.9" maxValue="92.9"/>
    </cacheField>
    <cacheField name="home_chances" numFmtId="0">
      <sharedItems containsSemiMixedTypes="0" containsString="0" containsNumber="1" containsInteger="1" minValue="0" maxValue="7"/>
    </cacheField>
    <cacheField name="away_chances" numFmtId="0">
      <sharedItems containsSemiMixedTypes="0" containsString="0" containsNumber="1" containsInteger="1" minValue="0" maxValue="6"/>
    </cacheField>
    <cacheField name="home_tackles %" numFmtId="0">
      <sharedItems containsSemiMixedTypes="0" containsString="0" containsNumber="1" minValue="0" maxValue="100"/>
    </cacheField>
    <cacheField name="away_tackles %" numFmtId="0">
      <sharedItems containsSemiMixedTypes="0" containsString="0" containsNumber="1" minValue="15.4" maxValue="92.9"/>
    </cacheField>
    <cacheField name="home_duels %" numFmtId="0">
      <sharedItems containsSemiMixedTypes="0" containsString="0" containsNumber="1" minValue="10" maxValue="90"/>
    </cacheField>
    <cacheField name="away_duels %" numFmtId="0">
      <sharedItems containsSemiMixedTypes="0" containsString="0" containsNumber="1" minValue="10" maxValue="90"/>
    </cacheField>
    <cacheField name="Home Fans" numFmtId="164">
      <sharedItems containsSemiMixedTypes="0" containsString="0" containsNumber="1" containsInteger="1" minValue="6972" maxValue="72546"/>
    </cacheField>
    <cacheField name="Max Home att." numFmtId="0">
      <sharedItems containsSemiMixedTypes="0" containsString="0" containsNumber="1" containsInteger="1" minValue="9879" maxValue="71310"/>
    </cacheField>
    <cacheField name="% Home Att" numFmtId="2">
      <sharedItems containsSemiMixedTypes="0" containsString="0" containsNumber="1" minValue="0.70573944731248106" maxValue="1.08860585197934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een" refreshedDate="45535.921838425929" createdVersion="8" refreshedVersion="8" minRefreshableVersion="3" recordCount="373" xr:uid="{0E2AEE74-473C-411F-AD99-B09ED8194840}">
  <cacheSource type="worksheet">
    <worksheetSource ref="B1:AD374" sheet="Attendance Data"/>
  </cacheSource>
  <cacheFields count="29">
    <cacheField name="Corr Date" numFmtId="14">
      <sharedItems containsSemiMixedTypes="0" containsNonDate="0" containsDate="1" containsString="0" minDate="2022-08-05T00:00:00" maxDate="2023-05-29T00:00:00"/>
    </cacheField>
    <cacheField name="stadium" numFmtId="0">
      <sharedItems/>
    </cacheField>
    <cacheField name="attendance" numFmtId="3">
      <sharedItems containsSemiMixedTypes="0" containsString="0" containsNumber="1" containsInteger="1" minValue="9972" maxValue="73726"/>
    </cacheField>
    <cacheField name="Home Team" numFmtId="0">
      <sharedItems/>
    </cacheField>
    <cacheField name="Goals Home" numFmtId="0">
      <sharedItems containsSemiMixedTypes="0" containsString="0" containsNumber="1" containsInteger="1" minValue="0" maxValue="9"/>
    </cacheField>
    <cacheField name="Away Team" numFmtId="0">
      <sharedItems/>
    </cacheField>
    <cacheField name="Away Goals" numFmtId="0">
      <sharedItems containsSemiMixedTypes="0" containsString="0" containsNumber="1" containsInteger="1" minValue="0" maxValue="6"/>
    </cacheField>
    <cacheField name="home_possessions" numFmtId="0">
      <sharedItems containsSemiMixedTypes="0" containsString="0" containsNumber="1" minValue="18.3" maxValue="80.900000000000006"/>
    </cacheField>
    <cacheField name="away_possessions" numFmtId="0">
      <sharedItems containsSemiMixedTypes="0" containsString="0" containsNumber="1" minValue="19.100000000000001" maxValue="81.7"/>
    </cacheField>
    <cacheField name="home_shots" numFmtId="0">
      <sharedItems containsSemiMixedTypes="0" containsString="0" containsNumber="1" containsInteger="1" minValue="1" maxValue="33"/>
    </cacheField>
    <cacheField name="away_shots" numFmtId="0">
      <sharedItems containsSemiMixedTypes="0" containsString="0" containsNumber="1" containsInteger="1" minValue="1" maxValue="30"/>
    </cacheField>
    <cacheField name="home_on target" numFmtId="0">
      <sharedItems containsSemiMixedTypes="0" containsString="0" containsNumber="1" containsInteger="1" minValue="0" maxValue="15"/>
    </cacheField>
    <cacheField name="away_on target" numFmtId="0">
      <sharedItems containsSemiMixedTypes="0" containsString="0" containsNumber="1" containsInteger="1" minValue="0" maxValue="11"/>
    </cacheField>
    <cacheField name="home_off target" numFmtId="0">
      <sharedItems containsSemiMixedTypes="0" containsString="0" containsNumber="1" containsInteger="1" minValue="0" maxValue="15"/>
    </cacheField>
    <cacheField name="away_off target" numFmtId="0">
      <sharedItems containsSemiMixedTypes="0" containsString="0" containsNumber="1" containsInteger="1" minValue="0" maxValue="12"/>
    </cacheField>
    <cacheField name="home_blocked" numFmtId="0">
      <sharedItems containsSemiMixedTypes="0" containsString="0" containsNumber="1" containsInteger="1" minValue="0" maxValue="14"/>
    </cacheField>
    <cacheField name="away_blocked" numFmtId="0">
      <sharedItems containsSemiMixedTypes="0" containsString="0" containsNumber="1" containsInteger="1" minValue="0" maxValue="12"/>
    </cacheField>
    <cacheField name="home_pass" numFmtId="0">
      <sharedItems containsSemiMixedTypes="0" containsString="0" containsNumber="1" minValue="49.7" maxValue="93.2"/>
    </cacheField>
    <cacheField name="away_pass" numFmtId="0">
      <sharedItems containsSemiMixedTypes="0" containsString="0" containsNumber="1" minValue="56.9" maxValue="92.9"/>
    </cacheField>
    <cacheField name="home_chances" numFmtId="0">
      <sharedItems containsSemiMixedTypes="0" containsString="0" containsNumber="1" containsInteger="1" minValue="0" maxValue="7"/>
    </cacheField>
    <cacheField name="away_chances" numFmtId="0">
      <sharedItems containsSemiMixedTypes="0" containsString="0" containsNumber="1" containsInteger="1" minValue="0" maxValue="6"/>
    </cacheField>
    <cacheField name="home_tackles %" numFmtId="0">
      <sharedItems containsSemiMixedTypes="0" containsString="0" containsNumber="1" minValue="0" maxValue="100"/>
    </cacheField>
    <cacheField name="away_tackles %" numFmtId="0">
      <sharedItems containsSemiMixedTypes="0" containsString="0" containsNumber="1" minValue="15.4" maxValue="92.9"/>
    </cacheField>
    <cacheField name="home_duels %" numFmtId="0">
      <sharedItems containsSemiMixedTypes="0" containsString="0" containsNumber="1" minValue="10" maxValue="90"/>
    </cacheField>
    <cacheField name="away_duels %" numFmtId="0">
      <sharedItems containsSemiMixedTypes="0" containsString="0" containsNumber="1" minValue="10" maxValue="90"/>
    </cacheField>
    <cacheField name="Home Fans" numFmtId="164">
      <sharedItems containsSemiMixedTypes="0" containsString="0" containsNumber="1" containsInteger="1" minValue="6972" maxValue="70726"/>
    </cacheField>
    <cacheField name="Max Home att." numFmtId="0">
      <sharedItems containsSemiMixedTypes="0" containsString="0" containsNumber="1" containsInteger="1" minValue="9879" maxValue="71310"/>
    </cacheField>
    <cacheField name="% Home Att" numFmtId="165">
      <sharedItems containsSemiMixedTypes="0" containsString="0" containsNumber="1" containsInteger="1" minValue="70" maxValue="100" count="25">
        <n v="94"/>
        <n v="70"/>
        <n v="85"/>
        <n v="98"/>
        <n v="99"/>
        <n v="91"/>
        <n v="92"/>
        <n v="96"/>
        <n v="100"/>
        <n v="95"/>
        <n v="86"/>
        <n v="73"/>
        <n v="75"/>
        <n v="80"/>
        <n v="97"/>
        <n v="74"/>
        <n v="93"/>
        <n v="72"/>
        <n v="77"/>
        <n v="89"/>
        <n v="79"/>
        <n v="82"/>
        <n v="83"/>
        <n v="76"/>
        <n v="88"/>
      </sharedItems>
    </cacheField>
    <cacheField name="Corrected att" numFmtId="1">
      <sharedItems containsSemiMixedTypes="0" containsString="0" containsNumber="1" containsInteger="1" minValue="70" maxValue="1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
  <r>
    <x v="0"/>
    <x v="0"/>
    <x v="0"/>
    <n v="5"/>
    <n v="2"/>
    <n v="25"/>
    <n v="10"/>
    <n v="7"/>
    <n v="4"/>
    <n v="11"/>
    <n v="84"/>
  </r>
  <r>
    <x v="1"/>
    <x v="0"/>
    <x v="1"/>
    <n v="5"/>
    <n v="3"/>
    <n v="20"/>
    <n v="8"/>
    <n v="6"/>
    <n v="7"/>
    <n v="-3"/>
    <n v="74"/>
  </r>
  <r>
    <x v="2"/>
    <x v="0"/>
    <x v="1"/>
    <n v="6"/>
    <n v="2"/>
    <n v="12"/>
    <n v="8"/>
    <n v="3"/>
    <n v="10"/>
    <n v="-16"/>
    <n v="72"/>
  </r>
  <r>
    <x v="3"/>
    <x v="0"/>
    <x v="1"/>
    <n v="4"/>
    <n v="4"/>
    <n v="20"/>
    <n v="7"/>
    <n v="7"/>
    <n v="7"/>
    <n v="2"/>
    <n v="71"/>
  </r>
  <r>
    <x v="4"/>
    <x v="0"/>
    <x v="2"/>
    <n v="5"/>
    <n v="5"/>
    <n v="9"/>
    <n v="6"/>
    <n v="7"/>
    <n v="8"/>
    <n v="-1"/>
    <n v="63"/>
  </r>
  <r>
    <x v="5"/>
    <x v="0"/>
    <x v="2"/>
    <n v="5"/>
    <n v="5"/>
    <n v="15"/>
    <n v="5"/>
    <n v="6"/>
    <n v="10"/>
    <n v="-21"/>
    <n v="59"/>
  </r>
  <r>
    <x v="6"/>
    <x v="0"/>
    <x v="1"/>
    <n v="4"/>
    <n v="4"/>
    <n v="23"/>
    <n v="3"/>
    <n v="7"/>
    <n v="11"/>
    <n v="-16"/>
    <n v="59"/>
  </r>
  <r>
    <x v="7"/>
    <x v="0"/>
    <x v="3"/>
    <n v="8"/>
    <n v="4"/>
    <n v="8"/>
    <n v="6"/>
    <n v="6"/>
    <n v="9"/>
    <n v="-4"/>
    <n v="59"/>
  </r>
  <r>
    <x v="8"/>
    <x v="0"/>
    <x v="4"/>
    <n v="8"/>
    <n v="6"/>
    <n v="5"/>
    <n v="8"/>
    <n v="4"/>
    <n v="9"/>
    <n v="0"/>
    <n v="57"/>
  </r>
  <r>
    <x v="9"/>
    <x v="0"/>
    <x v="5"/>
    <n v="6"/>
    <n v="7"/>
    <n v="5"/>
    <n v="7"/>
    <n v="5"/>
    <n v="9"/>
    <n v="-3"/>
    <n v="56"/>
  </r>
  <r>
    <x v="10"/>
    <x v="0"/>
    <x v="3"/>
    <n v="7"/>
    <n v="5"/>
    <n v="7"/>
    <n v="5"/>
    <n v="7"/>
    <n v="9"/>
    <n v="-10"/>
    <n v="56"/>
  </r>
  <r>
    <x v="11"/>
    <x v="0"/>
    <x v="3"/>
    <n v="4"/>
    <n v="8"/>
    <n v="9"/>
    <n v="5"/>
    <n v="8"/>
    <n v="8"/>
    <n v="-8"/>
    <n v="54"/>
  </r>
  <r>
    <x v="12"/>
    <x v="0"/>
    <x v="4"/>
    <n v="6"/>
    <n v="8"/>
    <n v="-1"/>
    <n v="8"/>
    <n v="2"/>
    <n v="11"/>
    <n v="-1"/>
    <n v="53"/>
  </r>
  <r>
    <x v="13"/>
    <x v="0"/>
    <x v="5"/>
    <n v="9"/>
    <n v="4"/>
    <n v="7"/>
    <n v="4"/>
    <n v="7"/>
    <n v="10"/>
    <n v="-12"/>
    <n v="52"/>
  </r>
  <r>
    <x v="14"/>
    <x v="0"/>
    <x v="6"/>
    <n v="6"/>
    <n v="5"/>
    <n v="14"/>
    <n v="4"/>
    <n v="4"/>
    <n v="13"/>
    <n v="-13"/>
    <n v="52"/>
  </r>
  <r>
    <x v="15"/>
    <x v="0"/>
    <x v="4"/>
    <n v="4"/>
    <n v="10"/>
    <n v="1"/>
    <n v="6"/>
    <n v="9"/>
    <n v="6"/>
    <n v="-6"/>
    <n v="52"/>
  </r>
  <r>
    <x v="16"/>
    <x v="0"/>
    <x v="7"/>
    <n v="8"/>
    <n v="1"/>
    <n v="23"/>
    <n v="0"/>
    <n v="7"/>
    <n v="14"/>
    <n v="-28"/>
    <n v="51"/>
  </r>
  <r>
    <x v="17"/>
    <x v="0"/>
    <x v="6"/>
    <n v="6"/>
    <n v="5"/>
    <n v="9"/>
    <n v="3"/>
    <n v="5"/>
    <n v="13"/>
    <n v="-16"/>
    <n v="50"/>
  </r>
  <r>
    <x v="18"/>
    <x v="0"/>
    <x v="8"/>
    <n v="9"/>
    <n v="6"/>
    <n v="2"/>
    <n v="5"/>
    <n v="7"/>
    <n v="9"/>
    <n v="-15"/>
    <n v="49"/>
  </r>
  <r>
    <x v="19"/>
    <x v="0"/>
    <x v="6"/>
    <n v="6"/>
    <n v="5"/>
    <n v="13"/>
    <n v="3"/>
    <n v="4"/>
    <n v="14"/>
    <n v="-24"/>
    <n v="49"/>
  </r>
  <r>
    <x v="20"/>
    <x v="0"/>
    <x v="5"/>
    <n v="5"/>
    <n v="8"/>
    <n v="6"/>
    <n v="3"/>
    <n v="6"/>
    <n v="12"/>
    <n v="-27"/>
    <n v="44"/>
  </r>
  <r>
    <x v="21"/>
    <x v="0"/>
    <x v="8"/>
    <n v="4"/>
    <n v="11"/>
    <n v="-8"/>
    <n v="4"/>
    <n v="6"/>
    <n v="11"/>
    <n v="-13"/>
    <n v="40"/>
  </r>
  <r>
    <x v="0"/>
    <x v="1"/>
    <x v="0"/>
    <n v="6"/>
    <n v="1"/>
    <n v="26"/>
    <n v="13"/>
    <n v="5"/>
    <n v="3"/>
    <n v="16"/>
    <n v="92"/>
  </r>
  <r>
    <x v="3"/>
    <x v="1"/>
    <x v="0"/>
    <n v="5"/>
    <n v="2"/>
    <n v="20"/>
    <n v="11"/>
    <n v="4"/>
    <n v="6"/>
    <n v="7"/>
    <n v="84"/>
  </r>
  <r>
    <x v="22"/>
    <x v="1"/>
    <x v="0"/>
    <n v="4"/>
    <n v="3"/>
    <n v="37"/>
    <n v="9"/>
    <n v="4"/>
    <n v="8"/>
    <n v="4"/>
    <n v="77"/>
  </r>
  <r>
    <x v="9"/>
    <x v="1"/>
    <x v="6"/>
    <n v="8"/>
    <n v="3"/>
    <n v="10"/>
    <n v="8"/>
    <n v="9"/>
    <n v="4"/>
    <n v="15"/>
    <n v="71"/>
  </r>
  <r>
    <x v="16"/>
    <x v="1"/>
    <x v="1"/>
    <n v="6"/>
    <n v="2"/>
    <n v="19"/>
    <n v="5"/>
    <n v="10"/>
    <n v="6"/>
    <n v="7"/>
    <n v="70"/>
  </r>
  <r>
    <x v="11"/>
    <x v="1"/>
    <x v="7"/>
    <n v="5"/>
    <n v="4"/>
    <n v="14"/>
    <n v="6"/>
    <n v="6"/>
    <n v="9"/>
    <n v="-11"/>
    <n v="65"/>
  </r>
  <r>
    <x v="7"/>
    <x v="1"/>
    <x v="6"/>
    <n v="7"/>
    <n v="4"/>
    <n v="24"/>
    <n v="6"/>
    <n v="9"/>
    <n v="6"/>
    <n v="-2"/>
    <n v="64"/>
  </r>
  <r>
    <x v="6"/>
    <x v="1"/>
    <x v="7"/>
    <n v="4"/>
    <n v="5"/>
    <n v="10"/>
    <n v="5"/>
    <n v="5"/>
    <n v="11"/>
    <n v="-6"/>
    <n v="60"/>
  </r>
  <r>
    <x v="4"/>
    <x v="1"/>
    <x v="5"/>
    <n v="7"/>
    <n v="6"/>
    <n v="3"/>
    <n v="8"/>
    <n v="5"/>
    <n v="8"/>
    <n v="-2"/>
    <n v="60"/>
  </r>
  <r>
    <x v="1"/>
    <x v="1"/>
    <x v="5"/>
    <n v="5"/>
    <n v="8"/>
    <n v="5"/>
    <n v="7"/>
    <n v="7"/>
    <n v="7"/>
    <n v="-9"/>
    <n v="57"/>
  </r>
  <r>
    <x v="15"/>
    <x v="1"/>
    <x v="3"/>
    <n v="7"/>
    <n v="5"/>
    <n v="6"/>
    <n v="5"/>
    <n v="7"/>
    <n v="9"/>
    <n v="-8"/>
    <n v="56"/>
  </r>
  <r>
    <x v="2"/>
    <x v="1"/>
    <x v="9"/>
    <n v="9"/>
    <n v="8"/>
    <n v="-3"/>
    <n v="8"/>
    <n v="8"/>
    <n v="5"/>
    <n v="7"/>
    <n v="53"/>
  </r>
  <r>
    <x v="23"/>
    <x v="1"/>
    <x v="8"/>
    <n v="7"/>
    <n v="8"/>
    <n v="-5"/>
    <n v="7"/>
    <n v="6"/>
    <n v="8"/>
    <n v="-6"/>
    <n v="52"/>
  </r>
  <r>
    <x v="10"/>
    <x v="1"/>
    <x v="2"/>
    <n v="5"/>
    <n v="5"/>
    <n v="11"/>
    <n v="2"/>
    <n v="7"/>
    <n v="12"/>
    <n v="-15"/>
    <n v="51"/>
  </r>
  <r>
    <x v="5"/>
    <x v="1"/>
    <x v="9"/>
    <n v="8"/>
    <n v="9"/>
    <n v="-4"/>
    <n v="7"/>
    <n v="4"/>
    <n v="10"/>
    <n v="-1"/>
    <n v="45"/>
  </r>
  <r>
    <x v="8"/>
    <x v="1"/>
    <x v="8"/>
    <n v="10"/>
    <n v="5"/>
    <n v="2"/>
    <n v="3"/>
    <n v="8"/>
    <n v="10"/>
    <n v="-13"/>
    <n v="45"/>
  </r>
  <r>
    <x v="12"/>
    <x v="1"/>
    <x v="5"/>
    <n v="4"/>
    <n v="9"/>
    <n v="-4"/>
    <n v="4"/>
    <n v="4"/>
    <n v="13"/>
    <n v="-17"/>
    <n v="44"/>
  </r>
  <r>
    <x v="13"/>
    <x v="1"/>
    <x v="10"/>
    <n v="8"/>
    <n v="8"/>
    <n v="-11"/>
    <n v="4"/>
    <n v="8"/>
    <n v="9"/>
    <n v="-12"/>
    <n v="43"/>
  </r>
  <r>
    <x v="17"/>
    <x v="1"/>
    <x v="3"/>
    <n v="2"/>
    <n v="10"/>
    <n v="-1"/>
    <n v="3"/>
    <n v="5"/>
    <n v="13"/>
    <n v="-16"/>
    <n v="43"/>
  </r>
  <r>
    <x v="14"/>
    <x v="1"/>
    <x v="8"/>
    <n v="10"/>
    <n v="5"/>
    <n v="1"/>
    <n v="2"/>
    <n v="8"/>
    <n v="11"/>
    <n v="-19"/>
    <n v="42"/>
  </r>
  <r>
    <x v="19"/>
    <x v="1"/>
    <x v="10"/>
    <n v="8"/>
    <n v="8"/>
    <n v="-9"/>
    <n v="4"/>
    <n v="5"/>
    <n v="12"/>
    <n v="-17"/>
    <n v="40"/>
  </r>
  <r>
    <x v="24"/>
    <x v="1"/>
    <x v="9"/>
    <n v="7"/>
    <n v="10"/>
    <n v="-20"/>
    <n v="1"/>
    <n v="8"/>
    <n v="12"/>
    <n v="-33"/>
    <n v="30"/>
  </r>
  <r>
    <x v="3"/>
    <x v="2"/>
    <x v="11"/>
    <n v="2"/>
    <n v="2"/>
    <n v="33"/>
    <n v="10"/>
    <n v="6"/>
    <n v="5"/>
    <n v="8"/>
    <n v="89"/>
  </r>
  <r>
    <x v="0"/>
    <x v="2"/>
    <x v="12"/>
    <n v="4"/>
    <n v="1"/>
    <n v="38"/>
    <n v="10"/>
    <n v="6"/>
    <n v="5"/>
    <n v="11"/>
    <n v="88"/>
  </r>
  <r>
    <x v="21"/>
    <x v="2"/>
    <x v="7"/>
    <n v="6"/>
    <n v="3"/>
    <n v="18"/>
    <n v="10"/>
    <n v="5"/>
    <n v="6"/>
    <n v="11"/>
    <n v="77"/>
  </r>
  <r>
    <x v="6"/>
    <x v="2"/>
    <x v="1"/>
    <n v="5"/>
    <n v="3"/>
    <n v="25"/>
    <n v="8"/>
    <n v="6"/>
    <n v="7"/>
    <n v="3"/>
    <n v="74"/>
  </r>
  <r>
    <x v="16"/>
    <x v="2"/>
    <x v="1"/>
    <n v="5"/>
    <n v="3"/>
    <n v="20"/>
    <n v="7"/>
    <n v="8"/>
    <n v="6"/>
    <n v="1"/>
    <n v="73"/>
  </r>
  <r>
    <x v="22"/>
    <x v="2"/>
    <x v="0"/>
    <n v="6"/>
    <n v="1"/>
    <n v="26"/>
    <n v="6"/>
    <n v="6"/>
    <n v="9"/>
    <n v="-6"/>
    <n v="72"/>
  </r>
  <r>
    <x v="5"/>
    <x v="2"/>
    <x v="6"/>
    <n v="5"/>
    <n v="6"/>
    <n v="7"/>
    <n v="6"/>
    <n v="9"/>
    <n v="6"/>
    <n v="1"/>
    <n v="62"/>
  </r>
  <r>
    <x v="4"/>
    <x v="2"/>
    <x v="2"/>
    <n v="3"/>
    <n v="7"/>
    <n v="10"/>
    <n v="6"/>
    <n v="6"/>
    <n v="9"/>
    <n v="-8"/>
    <n v="60"/>
  </r>
  <r>
    <x v="11"/>
    <x v="2"/>
    <x v="3"/>
    <n v="5"/>
    <n v="7"/>
    <n v="0"/>
    <n v="6"/>
    <n v="6"/>
    <n v="9"/>
    <n v="-17"/>
    <n v="56"/>
  </r>
  <r>
    <x v="10"/>
    <x v="2"/>
    <x v="4"/>
    <n v="7"/>
    <n v="7"/>
    <n v="3"/>
    <n v="6"/>
    <n v="8"/>
    <n v="7"/>
    <n v="-8"/>
    <n v="54"/>
  </r>
  <r>
    <x v="17"/>
    <x v="2"/>
    <x v="5"/>
    <n v="9"/>
    <n v="4"/>
    <n v="6"/>
    <n v="4"/>
    <n v="9"/>
    <n v="8"/>
    <n v="-8"/>
    <n v="54"/>
  </r>
  <r>
    <x v="7"/>
    <x v="2"/>
    <x v="4"/>
    <n v="7"/>
    <n v="7"/>
    <n v="0"/>
    <n v="6"/>
    <n v="5"/>
    <n v="10"/>
    <n v="-8"/>
    <n v="51"/>
  </r>
  <r>
    <x v="9"/>
    <x v="2"/>
    <x v="8"/>
    <n v="9"/>
    <n v="6"/>
    <n v="6"/>
    <n v="7"/>
    <n v="3"/>
    <n v="11"/>
    <n v="-3"/>
    <n v="51"/>
  </r>
  <r>
    <x v="12"/>
    <x v="2"/>
    <x v="5"/>
    <n v="9"/>
    <n v="4"/>
    <n v="8"/>
    <n v="3"/>
    <n v="8"/>
    <n v="10"/>
    <n v="-15"/>
    <n v="50"/>
  </r>
  <r>
    <x v="15"/>
    <x v="2"/>
    <x v="4"/>
    <n v="7"/>
    <n v="7"/>
    <n v="-2"/>
    <n v="5"/>
    <n v="7"/>
    <n v="9"/>
    <n v="-16"/>
    <n v="50"/>
  </r>
  <r>
    <x v="23"/>
    <x v="2"/>
    <x v="3"/>
    <n v="6"/>
    <n v="6"/>
    <n v="9"/>
    <n v="4"/>
    <n v="5"/>
    <n v="12"/>
    <n v="-13"/>
    <n v="50"/>
  </r>
  <r>
    <x v="8"/>
    <x v="2"/>
    <x v="5"/>
    <n v="7"/>
    <n v="6"/>
    <n v="9"/>
    <n v="4"/>
    <n v="6"/>
    <n v="11"/>
    <n v="-20"/>
    <n v="49"/>
  </r>
  <r>
    <x v="1"/>
    <x v="2"/>
    <x v="8"/>
    <n v="9"/>
    <n v="6"/>
    <n v="3"/>
    <n v="5"/>
    <n v="6"/>
    <n v="10"/>
    <n v="-8"/>
    <n v="48"/>
  </r>
  <r>
    <x v="18"/>
    <x v="2"/>
    <x v="8"/>
    <n v="6"/>
    <n v="9"/>
    <n v="-7"/>
    <n v="5"/>
    <n v="6"/>
    <n v="10"/>
    <n v="-8"/>
    <n v="45"/>
  </r>
  <r>
    <x v="2"/>
    <x v="2"/>
    <x v="5"/>
    <n v="8"/>
    <n v="5"/>
    <n v="6"/>
    <n v="2"/>
    <n v="5"/>
    <n v="14"/>
    <n v="-23"/>
    <n v="43"/>
  </r>
  <r>
    <x v="25"/>
    <x v="2"/>
    <x v="10"/>
    <n v="6"/>
    <n v="10"/>
    <n v="-9"/>
    <n v="1"/>
    <n v="5"/>
    <n v="15"/>
    <n v="-26"/>
    <n v="29"/>
  </r>
  <r>
    <x v="13"/>
    <x v="2"/>
    <x v="10"/>
    <n v="3"/>
    <n v="13"/>
    <n v="-10"/>
    <n v="2"/>
    <n v="3"/>
    <n v="16"/>
    <n v="-47"/>
    <n v="27"/>
  </r>
  <r>
    <x v="0"/>
    <x v="3"/>
    <x v="13"/>
    <n v="4"/>
    <n v="0"/>
    <n v="27"/>
    <n v="10"/>
    <n v="3"/>
    <n v="6"/>
    <n v="11"/>
    <n v="82"/>
  </r>
  <r>
    <x v="22"/>
    <x v="3"/>
    <x v="11"/>
    <n v="1"/>
    <n v="1"/>
    <n v="29"/>
    <n v="7"/>
    <n v="5"/>
    <n v="7"/>
    <n v="0"/>
    <n v="78"/>
  </r>
  <r>
    <x v="6"/>
    <x v="3"/>
    <x v="0"/>
    <n v="4"/>
    <n v="1"/>
    <n v="33"/>
    <n v="6"/>
    <n v="7"/>
    <n v="6"/>
    <n v="3"/>
    <n v="71"/>
  </r>
  <r>
    <x v="1"/>
    <x v="3"/>
    <x v="2"/>
    <n v="5"/>
    <n v="3"/>
    <n v="17"/>
    <n v="7"/>
    <n v="4"/>
    <n v="8"/>
    <n v="0"/>
    <n v="63"/>
  </r>
  <r>
    <x v="9"/>
    <x v="3"/>
    <x v="6"/>
    <n v="7"/>
    <n v="2"/>
    <n v="14"/>
    <n v="7"/>
    <n v="5"/>
    <n v="7"/>
    <n v="3"/>
    <n v="63"/>
  </r>
  <r>
    <x v="3"/>
    <x v="3"/>
    <x v="0"/>
    <n v="2"/>
    <n v="3"/>
    <n v="25"/>
    <n v="4"/>
    <n v="5"/>
    <n v="10"/>
    <n v="-11"/>
    <n v="61"/>
  </r>
  <r>
    <x v="12"/>
    <x v="3"/>
    <x v="6"/>
    <n v="5"/>
    <n v="4"/>
    <n v="16"/>
    <n v="7"/>
    <n v="5"/>
    <n v="7"/>
    <n v="4"/>
    <n v="61"/>
  </r>
  <r>
    <x v="5"/>
    <x v="3"/>
    <x v="3"/>
    <n v="5"/>
    <n v="5"/>
    <n v="7"/>
    <n v="7"/>
    <n v="8"/>
    <n v="4"/>
    <n v="5"/>
    <n v="61"/>
  </r>
  <r>
    <x v="21"/>
    <x v="3"/>
    <x v="2"/>
    <n v="6"/>
    <n v="2"/>
    <n v="12"/>
    <n v="4"/>
    <n v="7"/>
    <n v="8"/>
    <n v="-16"/>
    <n v="58"/>
  </r>
  <r>
    <x v="23"/>
    <x v="3"/>
    <x v="3"/>
    <n v="5"/>
    <n v="5"/>
    <n v="4"/>
    <n v="5"/>
    <n v="4"/>
    <n v="10"/>
    <n v="-13"/>
    <n v="51"/>
  </r>
  <r>
    <x v="10"/>
    <x v="3"/>
    <x v="4"/>
    <n v="7"/>
    <n v="5"/>
    <n v="8"/>
    <n v="5"/>
    <n v="7"/>
    <n v="7"/>
    <n v="-6"/>
    <n v="50"/>
  </r>
  <r>
    <x v="16"/>
    <x v="3"/>
    <x v="5"/>
    <n v="3"/>
    <n v="8"/>
    <n v="0"/>
    <n v="4"/>
    <n v="4"/>
    <n v="11"/>
    <n v="-17"/>
    <n v="43"/>
  </r>
  <r>
    <x v="20"/>
    <x v="3"/>
    <x v="5"/>
    <n v="3"/>
    <n v="8"/>
    <n v="0"/>
    <n v="3"/>
    <n v="7"/>
    <n v="9"/>
    <n v="-15"/>
    <n v="43"/>
  </r>
  <r>
    <x v="11"/>
    <x v="3"/>
    <x v="10"/>
    <n v="6"/>
    <n v="8"/>
    <n v="-6"/>
    <n v="5"/>
    <n v="5"/>
    <n v="9"/>
    <n v="-9"/>
    <n v="41"/>
  </r>
  <r>
    <x v="7"/>
    <x v="3"/>
    <x v="4"/>
    <n v="5"/>
    <n v="7"/>
    <n v="-1"/>
    <n v="3"/>
    <n v="5"/>
    <n v="11"/>
    <n v="-12"/>
    <n v="40"/>
  </r>
  <r>
    <x v="15"/>
    <x v="3"/>
    <x v="8"/>
    <n v="7"/>
    <n v="6"/>
    <n v="-2"/>
    <n v="2"/>
    <n v="7"/>
    <n v="10"/>
    <n v="-16"/>
    <n v="38"/>
  </r>
  <r>
    <x v="8"/>
    <x v="3"/>
    <x v="4"/>
    <n v="7"/>
    <n v="5"/>
    <n v="2"/>
    <n v="2"/>
    <n v="4"/>
    <n v="13"/>
    <n v="-27"/>
    <n v="38"/>
  </r>
  <r>
    <x v="17"/>
    <x v="3"/>
    <x v="4"/>
    <n v="7"/>
    <n v="5"/>
    <n v="3"/>
    <n v="2"/>
    <n v="4"/>
    <n v="13"/>
    <n v="-21"/>
    <n v="38"/>
  </r>
  <r>
    <x v="4"/>
    <x v="3"/>
    <x v="8"/>
    <n v="5"/>
    <n v="8"/>
    <n v="-1"/>
    <n v="3"/>
    <n v="1"/>
    <n v="15"/>
    <n v="-18"/>
    <n v="33"/>
  </r>
  <r>
    <x v="26"/>
    <x v="3"/>
    <x v="10"/>
    <n v="4"/>
    <n v="10"/>
    <n v="-15"/>
    <n v="3"/>
    <n v="1"/>
    <n v="15"/>
    <n v="-17"/>
    <n v="29"/>
  </r>
  <r>
    <x v="0"/>
    <x v="4"/>
    <x v="7"/>
    <n v="5"/>
    <n v="2"/>
    <n v="21"/>
    <n v="9"/>
    <n v="7"/>
    <n v="3"/>
    <n v="11"/>
    <n v="75"/>
  </r>
  <r>
    <x v="9"/>
    <x v="4"/>
    <x v="6"/>
    <n v="5"/>
    <n v="4"/>
    <n v="18"/>
    <n v="9"/>
    <n v="6"/>
    <n v="4"/>
    <n v="12"/>
    <n v="68"/>
  </r>
  <r>
    <x v="6"/>
    <x v="4"/>
    <x v="6"/>
    <n v="6"/>
    <n v="3"/>
    <n v="19"/>
    <n v="9"/>
    <n v="5"/>
    <n v="5"/>
    <n v="6"/>
    <n v="68"/>
  </r>
  <r>
    <x v="22"/>
    <x v="4"/>
    <x v="1"/>
    <n v="3"/>
    <n v="3"/>
    <n v="34"/>
    <n v="6"/>
    <n v="8"/>
    <n v="5"/>
    <n v="-1"/>
    <n v="68"/>
  </r>
  <r>
    <x v="1"/>
    <x v="4"/>
    <x v="2"/>
    <n v="5"/>
    <n v="3"/>
    <n v="14"/>
    <n v="6"/>
    <n v="5"/>
    <n v="8"/>
    <n v="-1"/>
    <n v="61"/>
  </r>
  <r>
    <x v="10"/>
    <x v="4"/>
    <x v="3"/>
    <n v="8"/>
    <n v="2"/>
    <n v="11"/>
    <n v="7"/>
    <n v="3"/>
    <n v="9"/>
    <n v="-8"/>
    <n v="59"/>
  </r>
  <r>
    <x v="7"/>
    <x v="4"/>
    <x v="5"/>
    <n v="10"/>
    <n v="1"/>
    <n v="9"/>
    <n v="6"/>
    <n v="5"/>
    <n v="8"/>
    <n v="-10"/>
    <n v="57"/>
  </r>
  <r>
    <x v="11"/>
    <x v="4"/>
    <x v="3"/>
    <n v="6"/>
    <n v="4"/>
    <n v="7"/>
    <n v="6"/>
    <n v="5"/>
    <n v="8"/>
    <n v="-4"/>
    <n v="56"/>
  </r>
  <r>
    <x v="25"/>
    <x v="4"/>
    <x v="4"/>
    <n v="5"/>
    <n v="7"/>
    <n v="-4"/>
    <n v="5"/>
    <n v="6"/>
    <n v="8"/>
    <n v="-4"/>
    <n v="47"/>
  </r>
  <r>
    <x v="16"/>
    <x v="4"/>
    <x v="4"/>
    <n v="7"/>
    <n v="5"/>
    <n v="2"/>
    <n v="4"/>
    <n v="6"/>
    <n v="9"/>
    <n v="-12"/>
    <n v="46"/>
  </r>
  <r>
    <x v="5"/>
    <x v="4"/>
    <x v="5"/>
    <n v="4"/>
    <n v="7"/>
    <n v="2"/>
    <n v="5"/>
    <n v="3"/>
    <n v="11"/>
    <n v="-9"/>
    <n v="46"/>
  </r>
  <r>
    <x v="27"/>
    <x v="4"/>
    <x v="5"/>
    <n v="6"/>
    <n v="5"/>
    <n v="3"/>
    <n v="3"/>
    <n v="7"/>
    <n v="9"/>
    <n v="-16"/>
    <n v="46"/>
  </r>
  <r>
    <x v="23"/>
    <x v="4"/>
    <x v="4"/>
    <n v="6"/>
    <n v="6"/>
    <n v="2"/>
    <n v="3"/>
    <n v="6"/>
    <n v="10"/>
    <n v="-11"/>
    <n v="42"/>
  </r>
  <r>
    <x v="20"/>
    <x v="4"/>
    <x v="5"/>
    <n v="5"/>
    <n v="6"/>
    <n v="9"/>
    <n v="2"/>
    <n v="7"/>
    <n v="10"/>
    <n v="-18"/>
    <n v="42"/>
  </r>
  <r>
    <x v="12"/>
    <x v="4"/>
    <x v="4"/>
    <n v="4"/>
    <n v="8"/>
    <n v="2"/>
    <n v="3"/>
    <n v="8"/>
    <n v="8"/>
    <n v="-15"/>
    <n v="42"/>
  </r>
  <r>
    <x v="3"/>
    <x v="4"/>
    <x v="5"/>
    <n v="4"/>
    <n v="7"/>
    <n v="5"/>
    <n v="1"/>
    <n v="11"/>
    <n v="7"/>
    <n v="-6"/>
    <n v="42"/>
  </r>
  <r>
    <x v="15"/>
    <x v="4"/>
    <x v="9"/>
    <n v="8"/>
    <n v="7"/>
    <n v="-4"/>
    <n v="5"/>
    <n v="6"/>
    <n v="8"/>
    <n v="-12"/>
    <n v="41"/>
  </r>
  <r>
    <x v="17"/>
    <x v="4"/>
    <x v="8"/>
    <n v="7"/>
    <n v="6"/>
    <n v="8"/>
    <n v="4"/>
    <n v="4"/>
    <n v="11"/>
    <n v="-14"/>
    <n v="41"/>
  </r>
  <r>
    <x v="28"/>
    <x v="4"/>
    <x v="4"/>
    <n v="6"/>
    <n v="6"/>
    <n v="2"/>
    <n v="3"/>
    <n v="4"/>
    <n v="12"/>
    <n v="-20"/>
    <n v="40"/>
  </r>
  <r>
    <x v="21"/>
    <x v="4"/>
    <x v="14"/>
    <n v="9"/>
    <n v="7"/>
    <n v="-12"/>
    <n v="3"/>
    <n v="7"/>
    <n v="9"/>
    <n v="-16"/>
    <n v="34"/>
  </r>
  <r>
    <x v="9"/>
    <x v="5"/>
    <x v="13"/>
    <n v="2"/>
    <n v="2"/>
    <n v="33"/>
    <n v="8"/>
    <n v="7"/>
    <n v="4"/>
    <n v="2"/>
    <n v="78"/>
  </r>
  <r>
    <x v="0"/>
    <x v="5"/>
    <x v="1"/>
    <n v="4"/>
    <n v="2"/>
    <n v="33"/>
    <n v="10"/>
    <n v="4"/>
    <n v="5"/>
    <n v="14"/>
    <n v="77"/>
  </r>
  <r>
    <x v="6"/>
    <x v="5"/>
    <x v="1"/>
    <n v="2"/>
    <n v="4"/>
    <n v="26"/>
    <n v="5"/>
    <n v="9"/>
    <n v="5"/>
    <n v="0"/>
    <n v="65"/>
  </r>
  <r>
    <x v="10"/>
    <x v="5"/>
    <x v="1"/>
    <n v="2"/>
    <n v="4"/>
    <n v="23"/>
    <n v="7"/>
    <n v="1"/>
    <n v="11"/>
    <n v="5"/>
    <n v="63"/>
  </r>
  <r>
    <x v="16"/>
    <x v="5"/>
    <x v="3"/>
    <n v="5"/>
    <n v="5"/>
    <n v="10"/>
    <n v="8"/>
    <n v="3"/>
    <n v="8"/>
    <n v="1"/>
    <n v="59"/>
  </r>
  <r>
    <x v="3"/>
    <x v="5"/>
    <x v="2"/>
    <n v="4"/>
    <n v="4"/>
    <n v="14"/>
    <n v="5"/>
    <n v="6"/>
    <n v="8"/>
    <n v="-9"/>
    <n v="58"/>
  </r>
  <r>
    <x v="1"/>
    <x v="5"/>
    <x v="3"/>
    <n v="3"/>
    <n v="7"/>
    <n v="2"/>
    <n v="8"/>
    <n v="3"/>
    <n v="8"/>
    <n v="-1"/>
    <n v="57"/>
  </r>
  <r>
    <x v="23"/>
    <x v="5"/>
    <x v="1"/>
    <n v="4"/>
    <n v="2"/>
    <n v="22"/>
    <n v="3"/>
    <n v="4"/>
    <n v="12"/>
    <n v="-23"/>
    <n v="56"/>
  </r>
  <r>
    <x v="27"/>
    <x v="5"/>
    <x v="7"/>
    <n v="3"/>
    <n v="4"/>
    <n v="15"/>
    <n v="4"/>
    <n v="4"/>
    <n v="11"/>
    <n v="-12"/>
    <n v="55"/>
  </r>
  <r>
    <x v="25"/>
    <x v="5"/>
    <x v="8"/>
    <n v="10"/>
    <n v="3"/>
    <n v="6"/>
    <n v="7"/>
    <n v="4"/>
    <n v="8"/>
    <n v="4"/>
    <n v="53"/>
  </r>
  <r>
    <x v="15"/>
    <x v="5"/>
    <x v="5"/>
    <n v="9"/>
    <n v="2"/>
    <n v="9"/>
    <n v="4"/>
    <n v="7"/>
    <n v="8"/>
    <n v="-7"/>
    <n v="52"/>
  </r>
  <r>
    <x v="17"/>
    <x v="5"/>
    <x v="6"/>
    <n v="1"/>
    <n v="8"/>
    <n v="5"/>
    <n v="4"/>
    <n v="5"/>
    <n v="10"/>
    <n v="-10"/>
    <n v="48"/>
  </r>
  <r>
    <x v="22"/>
    <x v="5"/>
    <x v="5"/>
    <n v="5"/>
    <n v="6"/>
    <n v="2"/>
    <n v="3"/>
    <n v="6"/>
    <n v="10"/>
    <n v="-11"/>
    <n v="44"/>
  </r>
  <r>
    <x v="5"/>
    <x v="5"/>
    <x v="4"/>
    <n v="8"/>
    <n v="4"/>
    <n v="1"/>
    <n v="4"/>
    <n v="3"/>
    <n v="12"/>
    <n v="-13"/>
    <n v="44"/>
  </r>
  <r>
    <x v="7"/>
    <x v="5"/>
    <x v="3"/>
    <n v="5"/>
    <n v="5"/>
    <n v="4"/>
    <n v="3"/>
    <n v="3"/>
    <n v="13"/>
    <n v="-19"/>
    <n v="44"/>
  </r>
  <r>
    <x v="11"/>
    <x v="5"/>
    <x v="10"/>
    <n v="6"/>
    <n v="8"/>
    <n v="-7"/>
    <n v="5"/>
    <n v="8"/>
    <n v="6"/>
    <n v="-5"/>
    <n v="44"/>
  </r>
  <r>
    <x v="12"/>
    <x v="5"/>
    <x v="4"/>
    <n v="5"/>
    <n v="7"/>
    <n v="-2"/>
    <n v="2"/>
    <n v="8"/>
    <n v="9"/>
    <n v="-13"/>
    <n v="40"/>
  </r>
  <r>
    <x v="26"/>
    <x v="5"/>
    <x v="4"/>
    <n v="8"/>
    <n v="4"/>
    <n v="3"/>
    <n v="2"/>
    <n v="5"/>
    <n v="12"/>
    <n v="-23"/>
    <n v="40"/>
  </r>
  <r>
    <x v="29"/>
    <x v="5"/>
    <x v="4"/>
    <n v="4"/>
    <n v="8"/>
    <n v="-10"/>
    <n v="3"/>
    <n v="1"/>
    <n v="15"/>
    <n v="-35"/>
    <n v="35"/>
  </r>
  <r>
    <x v="18"/>
    <x v="5"/>
    <x v="15"/>
    <n v="5"/>
    <n v="12"/>
    <n v="-24"/>
    <n v="6"/>
    <n v="4"/>
    <n v="9"/>
    <n v="-10"/>
    <n v="33"/>
  </r>
  <r>
    <x v="0"/>
    <x v="6"/>
    <x v="0"/>
    <n v="4"/>
    <n v="1"/>
    <n v="27"/>
    <n v="8"/>
    <n v="9"/>
    <n v="2"/>
    <n v="16"/>
    <n v="79"/>
  </r>
  <r>
    <x v="9"/>
    <x v="6"/>
    <x v="0"/>
    <n v="5"/>
    <n v="0"/>
    <n v="29"/>
    <n v="8"/>
    <n v="7"/>
    <n v="4"/>
    <n v="13"/>
    <n v="78"/>
  </r>
  <r>
    <x v="10"/>
    <x v="6"/>
    <x v="7"/>
    <n v="6"/>
    <n v="1"/>
    <n v="16"/>
    <n v="8"/>
    <n v="9"/>
    <n v="2"/>
    <n v="11"/>
    <n v="75"/>
  </r>
  <r>
    <x v="16"/>
    <x v="6"/>
    <x v="7"/>
    <n v="5"/>
    <n v="2"/>
    <n v="23"/>
    <n v="6"/>
    <n v="8"/>
    <n v="5"/>
    <n v="5"/>
    <n v="67"/>
  </r>
  <r>
    <x v="23"/>
    <x v="6"/>
    <x v="2"/>
    <n v="3"/>
    <n v="5"/>
    <n v="6"/>
    <n v="5"/>
    <n v="6"/>
    <n v="8"/>
    <n v="-13"/>
    <n v="57"/>
  </r>
  <r>
    <x v="1"/>
    <x v="6"/>
    <x v="6"/>
    <n v="3"/>
    <n v="6"/>
    <n v="5"/>
    <n v="5"/>
    <n v="7"/>
    <n v="7"/>
    <n v="0"/>
    <n v="55"/>
  </r>
  <r>
    <x v="6"/>
    <x v="6"/>
    <x v="6"/>
    <n v="5"/>
    <n v="4"/>
    <n v="20"/>
    <n v="5"/>
    <n v="4"/>
    <n v="10"/>
    <n v="-1"/>
    <n v="54"/>
  </r>
  <r>
    <x v="27"/>
    <x v="6"/>
    <x v="5"/>
    <n v="7"/>
    <n v="4"/>
    <n v="3"/>
    <n v="5"/>
    <n v="6"/>
    <n v="8"/>
    <n v="-8"/>
    <n v="52"/>
  </r>
  <r>
    <x v="20"/>
    <x v="6"/>
    <x v="4"/>
    <n v="9"/>
    <n v="3"/>
    <n v="7"/>
    <n v="5"/>
    <n v="6"/>
    <n v="8"/>
    <n v="-13"/>
    <n v="51"/>
  </r>
  <r>
    <x v="25"/>
    <x v="6"/>
    <x v="4"/>
    <n v="6"/>
    <n v="6"/>
    <n v="0"/>
    <n v="5"/>
    <n v="7"/>
    <n v="7"/>
    <n v="-6"/>
    <n v="49"/>
  </r>
  <r>
    <x v="5"/>
    <x v="6"/>
    <x v="4"/>
    <n v="7"/>
    <n v="5"/>
    <n v="2"/>
    <n v="4"/>
    <n v="7"/>
    <n v="8"/>
    <n v="-5"/>
    <n v="47"/>
  </r>
  <r>
    <x v="22"/>
    <x v="6"/>
    <x v="4"/>
    <n v="6"/>
    <n v="6"/>
    <n v="1"/>
    <n v="4"/>
    <n v="7"/>
    <n v="8"/>
    <n v="-7"/>
    <n v="46"/>
  </r>
  <r>
    <x v="7"/>
    <x v="6"/>
    <x v="4"/>
    <n v="5"/>
    <n v="7"/>
    <n v="5"/>
    <n v="6"/>
    <n v="2"/>
    <n v="11"/>
    <n v="-6"/>
    <n v="46"/>
  </r>
  <r>
    <x v="12"/>
    <x v="6"/>
    <x v="8"/>
    <n v="8"/>
    <n v="5"/>
    <n v="10"/>
    <n v="5"/>
    <n v="2"/>
    <n v="12"/>
    <n v="-15"/>
    <n v="43"/>
  </r>
  <r>
    <x v="15"/>
    <x v="6"/>
    <x v="5"/>
    <n v="6"/>
    <n v="5"/>
    <n v="5"/>
    <n v="3"/>
    <n v="3"/>
    <n v="13"/>
    <n v="-17"/>
    <n v="42"/>
  </r>
  <r>
    <x v="11"/>
    <x v="6"/>
    <x v="4"/>
    <n v="7"/>
    <n v="5"/>
    <n v="1"/>
    <n v="3"/>
    <n v="5"/>
    <n v="11"/>
    <n v="-24"/>
    <n v="42"/>
  </r>
  <r>
    <x v="17"/>
    <x v="6"/>
    <x v="3"/>
    <n v="4"/>
    <n v="6"/>
    <n v="3"/>
    <n v="2"/>
    <n v="4"/>
    <n v="13"/>
    <n v="-30"/>
    <n v="41"/>
  </r>
  <r>
    <x v="30"/>
    <x v="6"/>
    <x v="9"/>
    <n v="7"/>
    <n v="8"/>
    <n v="0"/>
    <n v="4"/>
    <n v="5"/>
    <n v="10"/>
    <n v="-15"/>
    <n v="36"/>
  </r>
  <r>
    <x v="3"/>
    <x v="6"/>
    <x v="8"/>
    <n v="5"/>
    <n v="8"/>
    <n v="-3"/>
    <n v="1"/>
    <n v="9"/>
    <n v="9"/>
    <n v="-11"/>
    <n v="35"/>
  </r>
  <r>
    <x v="21"/>
    <x v="6"/>
    <x v="14"/>
    <n v="7"/>
    <n v="9"/>
    <n v="-13"/>
    <n v="4"/>
    <n v="2"/>
    <n v="13"/>
    <n v="-21"/>
    <n v="30"/>
  </r>
  <r>
    <x v="0"/>
    <x v="7"/>
    <x v="13"/>
    <n v="4"/>
    <n v="0"/>
    <n v="43"/>
    <n v="13"/>
    <n v="3"/>
    <n v="3"/>
    <n v="9"/>
    <n v="91"/>
  </r>
  <r>
    <x v="9"/>
    <x v="7"/>
    <x v="0"/>
    <n v="3"/>
    <n v="2"/>
    <n v="25"/>
    <n v="8"/>
    <n v="4"/>
    <n v="7"/>
    <n v="5"/>
    <n v="73"/>
  </r>
  <r>
    <x v="16"/>
    <x v="7"/>
    <x v="7"/>
    <n v="2"/>
    <n v="5"/>
    <n v="11"/>
    <n v="9"/>
    <n v="4"/>
    <n v="6"/>
    <n v="4"/>
    <n v="69"/>
  </r>
  <r>
    <x v="6"/>
    <x v="7"/>
    <x v="2"/>
    <n v="4"/>
    <n v="4"/>
    <n v="15"/>
    <n v="8"/>
    <n v="6"/>
    <n v="5"/>
    <n v="6"/>
    <n v="67"/>
  </r>
  <r>
    <x v="10"/>
    <x v="7"/>
    <x v="7"/>
    <n v="5"/>
    <n v="2"/>
    <n v="23"/>
    <n v="6"/>
    <n v="6"/>
    <n v="7"/>
    <n v="-4"/>
    <n v="65"/>
  </r>
  <r>
    <x v="28"/>
    <x v="7"/>
    <x v="6"/>
    <n v="6"/>
    <n v="3"/>
    <n v="11"/>
    <n v="6"/>
    <n v="4"/>
    <n v="9"/>
    <n v="-10"/>
    <n v="58"/>
  </r>
  <r>
    <x v="1"/>
    <x v="7"/>
    <x v="5"/>
    <n v="8"/>
    <n v="3"/>
    <n v="11"/>
    <n v="7"/>
    <n v="5"/>
    <n v="7"/>
    <n v="0"/>
    <n v="58"/>
  </r>
  <r>
    <x v="25"/>
    <x v="7"/>
    <x v="6"/>
    <n v="3"/>
    <n v="6"/>
    <n v="7"/>
    <n v="6"/>
    <n v="4"/>
    <n v="9"/>
    <n v="-7"/>
    <n v="55"/>
  </r>
  <r>
    <x v="23"/>
    <x v="7"/>
    <x v="2"/>
    <n v="5"/>
    <n v="3"/>
    <n v="9"/>
    <n v="4"/>
    <n v="5"/>
    <n v="10"/>
    <n v="-10"/>
    <n v="55"/>
  </r>
  <r>
    <x v="5"/>
    <x v="7"/>
    <x v="6"/>
    <n v="3"/>
    <n v="6"/>
    <n v="14"/>
    <n v="5"/>
    <n v="5"/>
    <n v="9"/>
    <n v="-6"/>
    <n v="53"/>
  </r>
  <r>
    <x v="20"/>
    <x v="7"/>
    <x v="5"/>
    <n v="5"/>
    <n v="6"/>
    <n v="-3"/>
    <n v="6"/>
    <n v="5"/>
    <n v="8"/>
    <n v="-3"/>
    <n v="52"/>
  </r>
  <r>
    <x v="22"/>
    <x v="7"/>
    <x v="6"/>
    <n v="5"/>
    <n v="4"/>
    <n v="22"/>
    <n v="4"/>
    <n v="5"/>
    <n v="10"/>
    <n v="-13"/>
    <n v="52"/>
  </r>
  <r>
    <x v="12"/>
    <x v="7"/>
    <x v="4"/>
    <n v="9"/>
    <n v="3"/>
    <n v="15"/>
    <n v="5"/>
    <n v="5"/>
    <n v="9"/>
    <n v="-5"/>
    <n v="50"/>
  </r>
  <r>
    <x v="17"/>
    <x v="7"/>
    <x v="5"/>
    <n v="4"/>
    <n v="7"/>
    <n v="4"/>
    <n v="4"/>
    <n v="4"/>
    <n v="11"/>
    <n v="-21"/>
    <n v="44"/>
  </r>
  <r>
    <x v="15"/>
    <x v="7"/>
    <x v="7"/>
    <n v="1"/>
    <n v="6"/>
    <n v="16"/>
    <n v="0"/>
    <n v="7"/>
    <n v="12"/>
    <n v="-23"/>
    <n v="44"/>
  </r>
  <r>
    <x v="27"/>
    <x v="7"/>
    <x v="8"/>
    <n v="3"/>
    <n v="10"/>
    <n v="-3"/>
    <n v="3"/>
    <n v="8"/>
    <n v="8"/>
    <n v="-10"/>
    <n v="38"/>
  </r>
  <r>
    <x v="31"/>
    <x v="7"/>
    <x v="8"/>
    <n v="8"/>
    <n v="5"/>
    <n v="-3"/>
    <n v="3"/>
    <n v="1"/>
    <n v="15"/>
    <n v="-27"/>
    <n v="36"/>
  </r>
  <r>
    <x v="11"/>
    <x v="7"/>
    <x v="8"/>
    <n v="7"/>
    <n v="6"/>
    <n v="2"/>
    <n v="1"/>
    <n v="5"/>
    <n v="13"/>
    <n v="-30"/>
    <n v="33"/>
  </r>
  <r>
    <x v="7"/>
    <x v="7"/>
    <x v="8"/>
    <n v="3"/>
    <n v="10"/>
    <n v="-2"/>
    <n v="2"/>
    <n v="4"/>
    <n v="13"/>
    <n v="-30"/>
    <n v="31"/>
  </r>
  <r>
    <x v="32"/>
    <x v="7"/>
    <x v="10"/>
    <n v="4"/>
    <n v="10"/>
    <n v="-7"/>
    <n v="1"/>
    <n v="2"/>
    <n v="16"/>
    <n v="-35"/>
    <n v="24"/>
  </r>
  <r>
    <x v="0"/>
    <x v="8"/>
    <x v="13"/>
    <n v="2"/>
    <n v="2"/>
    <n v="37"/>
    <n v="9"/>
    <n v="6"/>
    <n v="4"/>
    <n v="11"/>
    <n v="80"/>
  </r>
  <r>
    <x v="9"/>
    <x v="8"/>
    <x v="13"/>
    <n v="3"/>
    <n v="1"/>
    <n v="32"/>
    <n v="5"/>
    <n v="7"/>
    <n v="7"/>
    <n v="-7"/>
    <n v="70"/>
  </r>
  <r>
    <x v="6"/>
    <x v="8"/>
    <x v="1"/>
    <n v="4"/>
    <n v="2"/>
    <n v="26"/>
    <n v="7"/>
    <n v="5"/>
    <n v="7"/>
    <n v="6"/>
    <n v="69"/>
  </r>
  <r>
    <x v="16"/>
    <x v="8"/>
    <x v="2"/>
    <n v="3"/>
    <n v="5"/>
    <n v="15"/>
    <n v="9"/>
    <n v="5"/>
    <n v="5"/>
    <n v="6"/>
    <n v="68"/>
  </r>
  <r>
    <x v="13"/>
    <x v="8"/>
    <x v="2"/>
    <n v="5"/>
    <n v="3"/>
    <n v="16"/>
    <n v="9"/>
    <n v="1"/>
    <n v="9"/>
    <n v="-1"/>
    <n v="66"/>
  </r>
  <r>
    <x v="10"/>
    <x v="8"/>
    <x v="1"/>
    <n v="3"/>
    <n v="3"/>
    <n v="24"/>
    <n v="4"/>
    <n v="7"/>
    <n v="8"/>
    <n v="-1"/>
    <n v="61"/>
  </r>
  <r>
    <x v="28"/>
    <x v="8"/>
    <x v="3"/>
    <n v="7"/>
    <n v="3"/>
    <n v="8"/>
    <n v="6"/>
    <n v="5"/>
    <n v="8"/>
    <n v="-3"/>
    <n v="57"/>
  </r>
  <r>
    <x v="1"/>
    <x v="8"/>
    <x v="5"/>
    <n v="8"/>
    <n v="3"/>
    <n v="7"/>
    <n v="5"/>
    <n v="7"/>
    <n v="7"/>
    <n v="-4"/>
    <n v="54"/>
  </r>
  <r>
    <x v="17"/>
    <x v="8"/>
    <x v="2"/>
    <n v="2"/>
    <n v="6"/>
    <n v="5"/>
    <n v="3"/>
    <n v="8"/>
    <n v="8"/>
    <n v="-13"/>
    <n v="52"/>
  </r>
  <r>
    <x v="30"/>
    <x v="8"/>
    <x v="2"/>
    <n v="5"/>
    <n v="3"/>
    <n v="12"/>
    <n v="3"/>
    <n v="5"/>
    <n v="11"/>
    <n v="-19"/>
    <n v="52"/>
  </r>
  <r>
    <x v="22"/>
    <x v="8"/>
    <x v="6"/>
    <n v="4"/>
    <n v="5"/>
    <n v="9"/>
    <n v="4"/>
    <n v="5"/>
    <n v="10"/>
    <n v="-15"/>
    <n v="51"/>
  </r>
  <r>
    <x v="5"/>
    <x v="8"/>
    <x v="2"/>
    <n v="6"/>
    <n v="2"/>
    <n v="15"/>
    <n v="2"/>
    <n v="4"/>
    <n v="13"/>
    <n v="-22"/>
    <n v="49"/>
  </r>
  <r>
    <x v="25"/>
    <x v="8"/>
    <x v="6"/>
    <n v="4"/>
    <n v="5"/>
    <n v="5"/>
    <n v="4"/>
    <n v="2"/>
    <n v="13"/>
    <n v="-17"/>
    <n v="48"/>
  </r>
  <r>
    <x v="23"/>
    <x v="8"/>
    <x v="8"/>
    <n v="6"/>
    <n v="7"/>
    <n v="4"/>
    <n v="4"/>
    <n v="6"/>
    <n v="9"/>
    <n v="-9"/>
    <n v="42"/>
  </r>
  <r>
    <x v="27"/>
    <x v="8"/>
    <x v="5"/>
    <n v="7"/>
    <n v="4"/>
    <n v="-1"/>
    <n v="2"/>
    <n v="5"/>
    <n v="12"/>
    <n v="-21"/>
    <n v="42"/>
  </r>
  <r>
    <x v="12"/>
    <x v="8"/>
    <x v="8"/>
    <n v="8"/>
    <n v="5"/>
    <n v="2"/>
    <n v="5"/>
    <n v="1"/>
    <n v="13"/>
    <n v="-16"/>
    <n v="42"/>
  </r>
  <r>
    <x v="20"/>
    <x v="8"/>
    <x v="9"/>
    <n v="7"/>
    <n v="8"/>
    <n v="-5"/>
    <n v="5"/>
    <n v="8"/>
    <n v="6"/>
    <n v="5"/>
    <n v="42"/>
  </r>
  <r>
    <x v="8"/>
    <x v="8"/>
    <x v="9"/>
    <n v="3"/>
    <n v="12"/>
    <n v="-11"/>
    <n v="4"/>
    <n v="7"/>
    <n v="8"/>
    <n v="-13"/>
    <n v="34"/>
  </r>
  <r>
    <x v="15"/>
    <x v="8"/>
    <x v="9"/>
    <n v="7"/>
    <n v="8"/>
    <n v="-9"/>
    <n v="4"/>
    <n v="3"/>
    <n v="12"/>
    <n v="-18"/>
    <n v="34"/>
  </r>
  <r>
    <x v="31"/>
    <x v="8"/>
    <x v="9"/>
    <n v="7"/>
    <n v="8"/>
    <n v="-9"/>
    <n v="1"/>
    <n v="4"/>
    <n v="14"/>
    <n v="-31"/>
    <n v="26"/>
  </r>
  <r>
    <x v="9"/>
    <x v="9"/>
    <x v="7"/>
    <n v="4"/>
    <n v="3"/>
    <n v="17"/>
    <n v="14"/>
    <n v="5"/>
    <n v="0"/>
    <n v="26"/>
    <n v="87"/>
  </r>
  <r>
    <x v="6"/>
    <x v="9"/>
    <x v="7"/>
    <n v="5"/>
    <n v="2"/>
    <n v="19"/>
    <n v="12"/>
    <n v="3"/>
    <n v="4"/>
    <n v="18"/>
    <n v="80"/>
  </r>
  <r>
    <x v="0"/>
    <x v="9"/>
    <x v="2"/>
    <n v="2"/>
    <n v="6"/>
    <n v="23"/>
    <n v="13"/>
    <n v="3"/>
    <n v="3"/>
    <n v="19"/>
    <n v="77"/>
  </r>
  <r>
    <x v="22"/>
    <x v="9"/>
    <x v="7"/>
    <n v="3"/>
    <n v="4"/>
    <n v="17"/>
    <n v="9"/>
    <n v="5"/>
    <n v="5"/>
    <n v="5"/>
    <n v="71"/>
  </r>
  <r>
    <x v="16"/>
    <x v="9"/>
    <x v="3"/>
    <n v="6"/>
    <n v="4"/>
    <n v="10"/>
    <n v="9"/>
    <n v="6"/>
    <n v="4"/>
    <n v="6"/>
    <n v="66"/>
  </r>
  <r>
    <x v="10"/>
    <x v="9"/>
    <x v="2"/>
    <n v="4"/>
    <n v="4"/>
    <n v="22"/>
    <n v="6"/>
    <n v="9"/>
    <n v="4"/>
    <n v="6"/>
    <n v="64"/>
  </r>
  <r>
    <x v="23"/>
    <x v="9"/>
    <x v="7"/>
    <n v="4"/>
    <n v="3"/>
    <n v="18"/>
    <n v="3"/>
    <n v="4"/>
    <n v="12"/>
    <n v="-27"/>
    <n v="53"/>
  </r>
  <r>
    <x v="5"/>
    <x v="9"/>
    <x v="6"/>
    <n v="4"/>
    <n v="5"/>
    <n v="8"/>
    <n v="4"/>
    <n v="4"/>
    <n v="11"/>
    <n v="-12"/>
    <n v="50"/>
  </r>
  <r>
    <x v="1"/>
    <x v="9"/>
    <x v="5"/>
    <n v="7"/>
    <n v="4"/>
    <n v="5"/>
    <n v="4"/>
    <n v="7"/>
    <n v="8"/>
    <n v="-6"/>
    <n v="50"/>
  </r>
  <r>
    <x v="3"/>
    <x v="9"/>
    <x v="5"/>
    <n v="6"/>
    <n v="5"/>
    <n v="13"/>
    <n v="4"/>
    <n v="4"/>
    <n v="11"/>
    <n v="-9"/>
    <n v="46"/>
  </r>
  <r>
    <x v="17"/>
    <x v="9"/>
    <x v="4"/>
    <n v="5"/>
    <n v="7"/>
    <n v="1"/>
    <n v="5"/>
    <n v="4"/>
    <n v="10"/>
    <n v="-9"/>
    <n v="45"/>
  </r>
  <r>
    <x v="20"/>
    <x v="9"/>
    <x v="4"/>
    <n v="5"/>
    <n v="7"/>
    <n v="-3"/>
    <n v="5"/>
    <n v="4"/>
    <n v="10"/>
    <n v="-9"/>
    <n v="45"/>
  </r>
  <r>
    <x v="30"/>
    <x v="9"/>
    <x v="10"/>
    <n v="6"/>
    <n v="8"/>
    <n v="-7"/>
    <n v="5"/>
    <n v="8"/>
    <n v="6"/>
    <n v="-4"/>
    <n v="44"/>
  </r>
  <r>
    <x v="33"/>
    <x v="9"/>
    <x v="4"/>
    <n v="7"/>
    <n v="5"/>
    <n v="5"/>
    <n v="3"/>
    <n v="7"/>
    <n v="9"/>
    <n v="-13"/>
    <n v="44"/>
  </r>
  <r>
    <x v="12"/>
    <x v="9"/>
    <x v="5"/>
    <n v="4"/>
    <n v="7"/>
    <n v="3"/>
    <n v="3"/>
    <n v="6"/>
    <n v="10"/>
    <n v="-15"/>
    <n v="43"/>
  </r>
  <r>
    <x v="28"/>
    <x v="9"/>
    <x v="4"/>
    <n v="7"/>
    <n v="5"/>
    <n v="2"/>
    <n v="3"/>
    <n v="3"/>
    <n v="13"/>
    <n v="-24"/>
    <n v="40"/>
  </r>
  <r>
    <x v="26"/>
    <x v="9"/>
    <x v="10"/>
    <n v="7"/>
    <n v="7"/>
    <n v="-11"/>
    <n v="4"/>
    <n v="6"/>
    <n v="9"/>
    <n v="-7"/>
    <n v="40"/>
  </r>
  <r>
    <x v="13"/>
    <x v="9"/>
    <x v="8"/>
    <n v="4"/>
    <n v="9"/>
    <n v="-4"/>
    <n v="3"/>
    <n v="5"/>
    <n v="11"/>
    <n v="-19"/>
    <n v="36"/>
  </r>
  <r>
    <x v="27"/>
    <x v="9"/>
    <x v="10"/>
    <n v="4"/>
    <n v="10"/>
    <n v="-6"/>
    <n v="3"/>
    <n v="2"/>
    <n v="14"/>
    <n v="-24"/>
    <n v="30"/>
  </r>
  <r>
    <x v="25"/>
    <x v="9"/>
    <x v="14"/>
    <n v="7"/>
    <n v="9"/>
    <n v="-19"/>
    <n v="2"/>
    <n v="6"/>
    <n v="11"/>
    <n v="-15"/>
    <n v="28"/>
  </r>
  <r>
    <x v="0"/>
    <x v="10"/>
    <x v="12"/>
    <n v="2"/>
    <n v="1"/>
    <n v="30"/>
    <n v="9"/>
    <n v="6"/>
    <n v="4"/>
    <n v="10"/>
    <n v="83"/>
  </r>
  <r>
    <x v="9"/>
    <x v="10"/>
    <x v="13"/>
    <n v="2"/>
    <n v="2"/>
    <n v="27"/>
    <n v="8"/>
    <n v="7"/>
    <n v="4"/>
    <n v="16"/>
    <n v="78"/>
  </r>
  <r>
    <x v="22"/>
    <x v="10"/>
    <x v="13"/>
    <n v="2"/>
    <n v="2"/>
    <n v="19"/>
    <n v="6"/>
    <n v="4"/>
    <n v="9"/>
    <n v="-4"/>
    <n v="69"/>
  </r>
  <r>
    <x v="10"/>
    <x v="10"/>
    <x v="7"/>
    <n v="5"/>
    <n v="2"/>
    <n v="26"/>
    <n v="7"/>
    <n v="5"/>
    <n v="7"/>
    <n v="4"/>
    <n v="67"/>
  </r>
  <r>
    <x v="6"/>
    <x v="10"/>
    <x v="3"/>
    <n v="8"/>
    <n v="2"/>
    <n v="14"/>
    <n v="9"/>
    <n v="2"/>
    <n v="8"/>
    <n v="6"/>
    <n v="64"/>
  </r>
  <r>
    <x v="3"/>
    <x v="10"/>
    <x v="3"/>
    <n v="7"/>
    <n v="3"/>
    <n v="9"/>
    <n v="7"/>
    <n v="5"/>
    <n v="7"/>
    <n v="0"/>
    <n v="60"/>
  </r>
  <r>
    <x v="12"/>
    <x v="10"/>
    <x v="2"/>
    <n v="5"/>
    <n v="3"/>
    <n v="9"/>
    <n v="6"/>
    <n v="3"/>
    <n v="10"/>
    <n v="-10"/>
    <n v="59"/>
  </r>
  <r>
    <x v="17"/>
    <x v="10"/>
    <x v="3"/>
    <n v="8"/>
    <n v="2"/>
    <n v="9"/>
    <n v="4"/>
    <n v="5"/>
    <n v="10"/>
    <n v="-12"/>
    <n v="52"/>
  </r>
  <r>
    <x v="8"/>
    <x v="10"/>
    <x v="3"/>
    <n v="2"/>
    <n v="8"/>
    <n v="2"/>
    <n v="6"/>
    <n v="4"/>
    <n v="9"/>
    <n v="-9"/>
    <n v="51"/>
  </r>
  <r>
    <x v="5"/>
    <x v="10"/>
    <x v="3"/>
    <n v="4"/>
    <n v="6"/>
    <n v="1"/>
    <n v="5"/>
    <n v="4"/>
    <n v="10"/>
    <n v="-12"/>
    <n v="50"/>
  </r>
  <r>
    <x v="30"/>
    <x v="10"/>
    <x v="5"/>
    <n v="3"/>
    <n v="8"/>
    <n v="-4"/>
    <n v="6"/>
    <n v="4"/>
    <n v="9"/>
    <n v="-7"/>
    <n v="49"/>
  </r>
  <r>
    <x v="20"/>
    <x v="10"/>
    <x v="6"/>
    <n v="7"/>
    <n v="2"/>
    <n v="15"/>
    <n v="3"/>
    <n v="3"/>
    <n v="13"/>
    <n v="-11"/>
    <n v="49"/>
  </r>
  <r>
    <x v="34"/>
    <x v="10"/>
    <x v="5"/>
    <n v="5"/>
    <n v="6"/>
    <n v="2"/>
    <n v="5"/>
    <n v="4"/>
    <n v="10"/>
    <n v="-10"/>
    <n v="48"/>
  </r>
  <r>
    <x v="33"/>
    <x v="10"/>
    <x v="2"/>
    <n v="3"/>
    <n v="5"/>
    <n v="8"/>
    <n v="2"/>
    <n v="6"/>
    <n v="11"/>
    <n v="-17"/>
    <n v="48"/>
  </r>
  <r>
    <x v="16"/>
    <x v="10"/>
    <x v="4"/>
    <n v="3"/>
    <n v="9"/>
    <n v="-1"/>
    <n v="7"/>
    <n v="2"/>
    <n v="10"/>
    <n v="2"/>
    <n v="47"/>
  </r>
  <r>
    <x v="1"/>
    <x v="10"/>
    <x v="2"/>
    <n v="2"/>
    <n v="6"/>
    <n v="11"/>
    <n v="1"/>
    <n v="7"/>
    <n v="11"/>
    <n v="-16"/>
    <n v="45"/>
  </r>
  <r>
    <x v="26"/>
    <x v="10"/>
    <x v="4"/>
    <n v="8"/>
    <n v="4"/>
    <n v="3"/>
    <n v="3"/>
    <n v="6"/>
    <n v="10"/>
    <n v="-13"/>
    <n v="44"/>
  </r>
  <r>
    <x v="23"/>
    <x v="10"/>
    <x v="10"/>
    <n v="7"/>
    <n v="7"/>
    <n v="-3"/>
    <n v="5"/>
    <n v="5"/>
    <n v="9"/>
    <n v="-14"/>
    <n v="42"/>
  </r>
  <r>
    <x v="35"/>
    <x v="10"/>
    <x v="14"/>
    <n v="5"/>
    <n v="11"/>
    <n v="-17"/>
    <n v="3"/>
    <n v="3"/>
    <n v="13"/>
    <n v="-19"/>
    <n v="26"/>
  </r>
  <r>
    <x v="28"/>
    <x v="10"/>
    <x v="14"/>
    <n v="2"/>
    <n v="14"/>
    <n v="-20"/>
    <n v="1"/>
    <n v="5"/>
    <n v="13"/>
    <n v="-24"/>
    <n v="19"/>
  </r>
  <r>
    <x v="9"/>
    <x v="11"/>
    <x v="13"/>
    <n v="4"/>
    <n v="0"/>
    <n v="26"/>
    <n v="11"/>
    <n v="8"/>
    <n v="0"/>
    <n v="21"/>
    <n v="90"/>
  </r>
  <r>
    <x v="10"/>
    <x v="11"/>
    <x v="7"/>
    <n v="4"/>
    <n v="3"/>
    <n v="21"/>
    <n v="12"/>
    <n v="3"/>
    <n v="4"/>
    <n v="16"/>
    <n v="79"/>
  </r>
  <r>
    <x v="0"/>
    <x v="11"/>
    <x v="7"/>
    <n v="4"/>
    <n v="3"/>
    <n v="22"/>
    <n v="11"/>
    <n v="2"/>
    <n v="6"/>
    <n v="7"/>
    <n v="75"/>
  </r>
  <r>
    <x v="6"/>
    <x v="11"/>
    <x v="6"/>
    <n v="4"/>
    <n v="5"/>
    <n v="14"/>
    <n v="6"/>
    <n v="8"/>
    <n v="5"/>
    <n v="4"/>
    <n v="60"/>
  </r>
  <r>
    <x v="1"/>
    <x v="11"/>
    <x v="3"/>
    <n v="6"/>
    <n v="4"/>
    <n v="5"/>
    <n v="6"/>
    <n v="5"/>
    <n v="8"/>
    <n v="-1"/>
    <n v="56"/>
  </r>
  <r>
    <x v="22"/>
    <x v="11"/>
    <x v="2"/>
    <n v="5"/>
    <n v="3"/>
    <n v="19"/>
    <n v="2"/>
    <n v="12"/>
    <n v="5"/>
    <n v="-7"/>
    <n v="56"/>
  </r>
  <r>
    <x v="30"/>
    <x v="11"/>
    <x v="4"/>
    <n v="6"/>
    <n v="6"/>
    <n v="0"/>
    <n v="7"/>
    <n v="5"/>
    <n v="7"/>
    <n v="0"/>
    <n v="53"/>
  </r>
  <r>
    <x v="26"/>
    <x v="11"/>
    <x v="8"/>
    <n v="8"/>
    <n v="5"/>
    <n v="3"/>
    <n v="8"/>
    <n v="3"/>
    <n v="8"/>
    <n v="-11"/>
    <n v="53"/>
  </r>
  <r>
    <x v="33"/>
    <x v="11"/>
    <x v="3"/>
    <n v="4"/>
    <n v="6"/>
    <n v="8"/>
    <n v="5"/>
    <n v="6"/>
    <n v="8"/>
    <n v="-2"/>
    <n v="52"/>
  </r>
  <r>
    <x v="34"/>
    <x v="11"/>
    <x v="5"/>
    <n v="5"/>
    <n v="6"/>
    <n v="2"/>
    <n v="4"/>
    <n v="9"/>
    <n v="6"/>
    <n v="-7"/>
    <n v="50"/>
  </r>
  <r>
    <x v="20"/>
    <x v="11"/>
    <x v="5"/>
    <n v="4"/>
    <n v="7"/>
    <n v="2"/>
    <n v="5"/>
    <n v="5"/>
    <n v="9"/>
    <n v="-10"/>
    <n v="48"/>
  </r>
  <r>
    <x v="17"/>
    <x v="11"/>
    <x v="5"/>
    <n v="6"/>
    <n v="5"/>
    <n v="7"/>
    <n v="4"/>
    <n v="5"/>
    <n v="10"/>
    <n v="-8"/>
    <n v="47"/>
  </r>
  <r>
    <x v="5"/>
    <x v="11"/>
    <x v="3"/>
    <n v="4"/>
    <n v="6"/>
    <n v="6"/>
    <n v="4"/>
    <n v="2"/>
    <n v="13"/>
    <n v="-16"/>
    <n v="45"/>
  </r>
  <r>
    <x v="36"/>
    <x v="11"/>
    <x v="6"/>
    <n v="4"/>
    <n v="5"/>
    <n v="16"/>
    <n v="2"/>
    <n v="5"/>
    <n v="12"/>
    <n v="-23"/>
    <n v="45"/>
  </r>
  <r>
    <x v="3"/>
    <x v="11"/>
    <x v="10"/>
    <n v="4"/>
    <n v="10"/>
    <n v="-6"/>
    <n v="7"/>
    <n v="4"/>
    <n v="8"/>
    <n v="-2"/>
    <n v="44"/>
  </r>
  <r>
    <x v="8"/>
    <x v="11"/>
    <x v="10"/>
    <n v="9"/>
    <n v="5"/>
    <n v="7"/>
    <n v="4"/>
    <n v="5"/>
    <n v="10"/>
    <n v="-6"/>
    <n v="41"/>
  </r>
  <r>
    <x v="12"/>
    <x v="11"/>
    <x v="5"/>
    <n v="5"/>
    <n v="6"/>
    <n v="7"/>
    <n v="1"/>
    <n v="7"/>
    <n v="11"/>
    <n v="-19"/>
    <n v="39"/>
  </r>
  <r>
    <x v="37"/>
    <x v="11"/>
    <x v="4"/>
    <n v="5"/>
    <n v="7"/>
    <n v="-12"/>
    <n v="0"/>
    <n v="7"/>
    <n v="12"/>
    <n v="-27"/>
    <n v="33"/>
  </r>
  <r>
    <x v="25"/>
    <x v="11"/>
    <x v="14"/>
    <n v="10"/>
    <n v="6"/>
    <n v="-9"/>
    <n v="3"/>
    <n v="5"/>
    <n v="11"/>
    <n v="-8"/>
    <n v="33"/>
  </r>
  <r>
    <x v="16"/>
    <x v="11"/>
    <x v="10"/>
    <n v="7"/>
    <n v="7"/>
    <n v="-6"/>
    <n v="3"/>
    <n v="2"/>
    <n v="14"/>
    <n v="-33"/>
    <n v="33"/>
  </r>
  <r>
    <x v="10"/>
    <x v="12"/>
    <x v="0"/>
    <n v="5"/>
    <n v="0"/>
    <n v="29"/>
    <n v="15"/>
    <n v="3"/>
    <n v="1"/>
    <n v="28"/>
    <n v="95"/>
  </r>
  <r>
    <x v="9"/>
    <x v="12"/>
    <x v="1"/>
    <n v="5"/>
    <n v="1"/>
    <n v="35"/>
    <n v="12"/>
    <n v="3"/>
    <n v="4"/>
    <n v="16"/>
    <n v="83"/>
  </r>
  <r>
    <x v="0"/>
    <x v="12"/>
    <x v="7"/>
    <n v="6"/>
    <n v="1"/>
    <n v="19"/>
    <n v="10"/>
    <n v="5"/>
    <n v="4"/>
    <n v="13"/>
    <n v="77"/>
  </r>
  <r>
    <x v="12"/>
    <x v="12"/>
    <x v="7"/>
    <n v="2"/>
    <n v="5"/>
    <n v="9"/>
    <n v="6"/>
    <n v="5"/>
    <n v="8"/>
    <n v="-10"/>
    <n v="61"/>
  </r>
  <r>
    <x v="6"/>
    <x v="12"/>
    <x v="7"/>
    <n v="4"/>
    <n v="3"/>
    <n v="16"/>
    <n v="5"/>
    <n v="3"/>
    <n v="11"/>
    <n v="-5"/>
    <n v="58"/>
  </r>
  <r>
    <x v="26"/>
    <x v="12"/>
    <x v="3"/>
    <n v="5"/>
    <n v="5"/>
    <n v="7"/>
    <n v="7"/>
    <n v="5"/>
    <n v="7"/>
    <n v="-2"/>
    <n v="58"/>
  </r>
  <r>
    <x v="20"/>
    <x v="12"/>
    <x v="3"/>
    <n v="6"/>
    <n v="4"/>
    <n v="10"/>
    <n v="5"/>
    <n v="7"/>
    <n v="7"/>
    <n v="-3"/>
    <n v="55"/>
  </r>
  <r>
    <x v="8"/>
    <x v="12"/>
    <x v="5"/>
    <n v="6"/>
    <n v="5"/>
    <n v="10"/>
    <n v="5"/>
    <n v="7"/>
    <n v="7"/>
    <n v="-2"/>
    <n v="52"/>
  </r>
  <r>
    <x v="5"/>
    <x v="12"/>
    <x v="3"/>
    <n v="5"/>
    <n v="5"/>
    <n v="14"/>
    <n v="5"/>
    <n v="5"/>
    <n v="9"/>
    <n v="-8"/>
    <n v="52"/>
  </r>
  <r>
    <x v="1"/>
    <x v="12"/>
    <x v="5"/>
    <n v="6"/>
    <n v="5"/>
    <n v="9"/>
    <n v="4"/>
    <n v="5"/>
    <n v="10"/>
    <n v="-16"/>
    <n v="47"/>
  </r>
  <r>
    <x v="30"/>
    <x v="12"/>
    <x v="5"/>
    <n v="4"/>
    <n v="7"/>
    <n v="0"/>
    <n v="4"/>
    <n v="6"/>
    <n v="9"/>
    <n v="-16"/>
    <n v="46"/>
  </r>
  <r>
    <x v="34"/>
    <x v="12"/>
    <x v="5"/>
    <n v="6"/>
    <n v="5"/>
    <n v="9"/>
    <n v="3"/>
    <n v="6"/>
    <n v="10"/>
    <n v="-15"/>
    <n v="45"/>
  </r>
  <r>
    <x v="33"/>
    <x v="12"/>
    <x v="5"/>
    <n v="4"/>
    <n v="7"/>
    <n v="3"/>
    <n v="4"/>
    <n v="4"/>
    <n v="11"/>
    <n v="-11"/>
    <n v="44"/>
  </r>
  <r>
    <x v="22"/>
    <x v="12"/>
    <x v="4"/>
    <n v="7"/>
    <n v="5"/>
    <n v="0"/>
    <n v="3"/>
    <n v="7"/>
    <n v="9"/>
    <n v="-10"/>
    <n v="44"/>
  </r>
  <r>
    <x v="3"/>
    <x v="12"/>
    <x v="10"/>
    <n v="8"/>
    <n v="6"/>
    <n v="-1"/>
    <n v="4"/>
    <n v="7"/>
    <n v="8"/>
    <n v="-10"/>
    <n v="42"/>
  </r>
  <r>
    <x v="36"/>
    <x v="12"/>
    <x v="5"/>
    <n v="4"/>
    <n v="7"/>
    <n v="4"/>
    <n v="2"/>
    <n v="5"/>
    <n v="12"/>
    <n v="-20"/>
    <n v="39"/>
  </r>
  <r>
    <x v="35"/>
    <x v="12"/>
    <x v="10"/>
    <n v="8"/>
    <n v="6"/>
    <n v="-7"/>
    <n v="1"/>
    <n v="8"/>
    <n v="10"/>
    <n v="-18"/>
    <n v="34"/>
  </r>
  <r>
    <x v="18"/>
    <x v="12"/>
    <x v="8"/>
    <n v="5"/>
    <n v="8"/>
    <n v="2"/>
    <n v="1"/>
    <n v="7"/>
    <n v="11"/>
    <n v="-23"/>
    <n v="33"/>
  </r>
  <r>
    <x v="2"/>
    <x v="12"/>
    <x v="4"/>
    <n v="5"/>
    <n v="7"/>
    <n v="-3"/>
    <n v="0"/>
    <n v="7"/>
    <n v="12"/>
    <n v="-32"/>
    <n v="33"/>
  </r>
  <r>
    <x v="17"/>
    <x v="12"/>
    <x v="10"/>
    <n v="9"/>
    <n v="5"/>
    <n v="0"/>
    <n v="1"/>
    <n v="5"/>
    <n v="13"/>
    <n v="-21"/>
    <n v="32"/>
  </r>
  <r>
    <x v="10"/>
    <x v="13"/>
    <x v="16"/>
    <n v="1"/>
    <n v="0"/>
    <n v="38"/>
    <n v="11"/>
    <n v="3"/>
    <n v="5"/>
    <n v="12"/>
    <n v="91"/>
  </r>
  <r>
    <x v="0"/>
    <x v="13"/>
    <x v="1"/>
    <n v="5"/>
    <n v="1"/>
    <n v="29"/>
    <n v="12"/>
    <n v="3"/>
    <n v="4"/>
    <n v="9"/>
    <n v="83"/>
  </r>
  <r>
    <x v="6"/>
    <x v="13"/>
    <x v="13"/>
    <n v="3"/>
    <n v="1"/>
    <n v="24"/>
    <n v="10"/>
    <n v="4"/>
    <n v="5"/>
    <n v="8"/>
    <n v="82"/>
  </r>
  <r>
    <x v="9"/>
    <x v="13"/>
    <x v="0"/>
    <n v="3"/>
    <n v="2"/>
    <n v="35"/>
    <n v="6"/>
    <n v="4"/>
    <n v="9"/>
    <n v="2"/>
    <n v="67"/>
  </r>
  <r>
    <x v="5"/>
    <x v="13"/>
    <x v="7"/>
    <n v="5"/>
    <n v="2"/>
    <n v="15"/>
    <n v="6"/>
    <n v="6"/>
    <n v="7"/>
    <n v="0"/>
    <n v="65"/>
  </r>
  <r>
    <x v="3"/>
    <x v="13"/>
    <x v="1"/>
    <n v="3"/>
    <n v="3"/>
    <n v="14"/>
    <n v="6"/>
    <n v="3"/>
    <n v="10"/>
    <n v="-5"/>
    <n v="63"/>
  </r>
  <r>
    <x v="22"/>
    <x v="13"/>
    <x v="2"/>
    <n v="5"/>
    <n v="3"/>
    <n v="13"/>
    <n v="6"/>
    <n v="2"/>
    <n v="11"/>
    <n v="-8"/>
    <n v="58"/>
  </r>
  <r>
    <x v="26"/>
    <x v="13"/>
    <x v="2"/>
    <n v="5"/>
    <n v="3"/>
    <n v="16"/>
    <n v="4"/>
    <n v="6"/>
    <n v="9"/>
    <n v="-8"/>
    <n v="56"/>
  </r>
  <r>
    <x v="23"/>
    <x v="13"/>
    <x v="3"/>
    <n v="3"/>
    <n v="7"/>
    <n v="5"/>
    <n v="7"/>
    <n v="4"/>
    <n v="8"/>
    <n v="-8"/>
    <n v="55"/>
  </r>
  <r>
    <x v="38"/>
    <x v="13"/>
    <x v="4"/>
    <n v="3"/>
    <n v="9"/>
    <n v="-2"/>
    <n v="8"/>
    <n v="3"/>
    <n v="8"/>
    <n v="-5"/>
    <n v="51"/>
  </r>
  <r>
    <x v="12"/>
    <x v="13"/>
    <x v="5"/>
    <n v="4"/>
    <n v="7"/>
    <n v="0"/>
    <n v="6"/>
    <n v="4"/>
    <n v="9"/>
    <n v="-15"/>
    <n v="50"/>
  </r>
  <r>
    <x v="33"/>
    <x v="13"/>
    <x v="1"/>
    <n v="2"/>
    <n v="4"/>
    <n v="10"/>
    <n v="1"/>
    <n v="4"/>
    <n v="14"/>
    <n v="-20"/>
    <n v="48"/>
  </r>
  <r>
    <x v="30"/>
    <x v="13"/>
    <x v="5"/>
    <n v="4"/>
    <n v="7"/>
    <n v="1"/>
    <n v="5"/>
    <n v="4"/>
    <n v="10"/>
    <n v="-15"/>
    <n v="47"/>
  </r>
  <r>
    <x v="20"/>
    <x v="13"/>
    <x v="4"/>
    <n v="5"/>
    <n v="7"/>
    <n v="-2"/>
    <n v="5"/>
    <n v="4"/>
    <n v="10"/>
    <n v="-8"/>
    <n v="45"/>
  </r>
  <r>
    <x v="8"/>
    <x v="13"/>
    <x v="3"/>
    <n v="2"/>
    <n v="8"/>
    <n v="6"/>
    <n v="4"/>
    <n v="2"/>
    <n v="13"/>
    <n v="-11"/>
    <n v="43"/>
  </r>
  <r>
    <x v="1"/>
    <x v="13"/>
    <x v="8"/>
    <n v="6"/>
    <n v="7"/>
    <n v="0"/>
    <n v="4"/>
    <n v="6"/>
    <n v="9"/>
    <n v="-13"/>
    <n v="42"/>
  </r>
  <r>
    <x v="36"/>
    <x v="13"/>
    <x v="10"/>
    <n v="7"/>
    <n v="7"/>
    <n v="-7"/>
    <n v="5"/>
    <n v="1"/>
    <n v="13"/>
    <n v="-18"/>
    <n v="38"/>
  </r>
  <r>
    <x v="34"/>
    <x v="13"/>
    <x v="8"/>
    <n v="5"/>
    <n v="8"/>
    <n v="-1"/>
    <n v="2"/>
    <n v="5"/>
    <n v="12"/>
    <n v="-21"/>
    <n v="34"/>
  </r>
  <r>
    <x v="35"/>
    <x v="13"/>
    <x v="8"/>
    <n v="2"/>
    <n v="11"/>
    <n v="-3"/>
    <n v="1"/>
    <n v="7"/>
    <n v="11"/>
    <n v="-24"/>
    <n v="30"/>
  </r>
  <r>
    <x v="28"/>
    <x v="13"/>
    <x v="17"/>
    <n v="4"/>
    <n v="14"/>
    <n v="-25"/>
    <n v="2"/>
    <n v="2"/>
    <n v="15"/>
    <n v="-18"/>
    <n v="15"/>
  </r>
  <r>
    <x v="0"/>
    <x v="14"/>
    <x v="13"/>
    <n v="2"/>
    <n v="2"/>
    <n v="34"/>
    <n v="13"/>
    <n v="3"/>
    <n v="3"/>
    <n v="22"/>
    <n v="89"/>
  </r>
  <r>
    <x v="10"/>
    <x v="14"/>
    <x v="7"/>
    <n v="7"/>
    <n v="0"/>
    <n v="26"/>
    <n v="12"/>
    <n v="4"/>
    <n v="3"/>
    <n v="14"/>
    <n v="83"/>
  </r>
  <r>
    <x v="9"/>
    <x v="14"/>
    <x v="7"/>
    <n v="6"/>
    <n v="1"/>
    <n v="27"/>
    <n v="7"/>
    <n v="5"/>
    <n v="7"/>
    <n v="1"/>
    <n v="68"/>
  </r>
  <r>
    <x v="6"/>
    <x v="14"/>
    <x v="0"/>
    <n v="4"/>
    <n v="1"/>
    <n v="32"/>
    <n v="6"/>
    <n v="4"/>
    <n v="9"/>
    <n v="-2"/>
    <n v="68"/>
  </r>
  <r>
    <x v="5"/>
    <x v="14"/>
    <x v="7"/>
    <n v="3"/>
    <n v="4"/>
    <n v="12"/>
    <n v="5"/>
    <n v="6"/>
    <n v="8"/>
    <n v="-9"/>
    <n v="60"/>
  </r>
  <r>
    <x v="12"/>
    <x v="14"/>
    <x v="2"/>
    <n v="4"/>
    <n v="4"/>
    <n v="16"/>
    <n v="4"/>
    <n v="9"/>
    <n v="6"/>
    <n v="0"/>
    <n v="58"/>
  </r>
  <r>
    <x v="26"/>
    <x v="14"/>
    <x v="3"/>
    <n v="5"/>
    <n v="5"/>
    <n v="6"/>
    <n v="7"/>
    <n v="3"/>
    <n v="9"/>
    <n v="-11"/>
    <n v="56"/>
  </r>
  <r>
    <x v="39"/>
    <x v="14"/>
    <x v="2"/>
    <n v="2"/>
    <n v="6"/>
    <n v="9"/>
    <n v="5"/>
    <n v="5"/>
    <n v="9"/>
    <n v="-4"/>
    <n v="55"/>
  </r>
  <r>
    <x v="36"/>
    <x v="14"/>
    <x v="2"/>
    <n v="5"/>
    <n v="3"/>
    <n v="13"/>
    <n v="3"/>
    <n v="7"/>
    <n v="9"/>
    <n v="-10"/>
    <n v="54"/>
  </r>
  <r>
    <x v="3"/>
    <x v="14"/>
    <x v="3"/>
    <n v="3"/>
    <n v="7"/>
    <n v="6"/>
    <n v="6"/>
    <n v="4"/>
    <n v="9"/>
    <n v="-8"/>
    <n v="52"/>
  </r>
  <r>
    <x v="1"/>
    <x v="14"/>
    <x v="4"/>
    <n v="8"/>
    <n v="4"/>
    <n v="6"/>
    <n v="4"/>
    <n v="9"/>
    <n v="6"/>
    <n v="-4"/>
    <n v="50"/>
  </r>
  <r>
    <x v="20"/>
    <x v="14"/>
    <x v="6"/>
    <n v="3"/>
    <n v="6"/>
    <n v="7"/>
    <n v="2"/>
    <n v="7"/>
    <n v="10"/>
    <n v="-12"/>
    <n v="46"/>
  </r>
  <r>
    <x v="22"/>
    <x v="14"/>
    <x v="4"/>
    <n v="7"/>
    <n v="5"/>
    <n v="3"/>
    <n v="4"/>
    <n v="3"/>
    <n v="12"/>
    <n v="-12"/>
    <n v="43"/>
  </r>
  <r>
    <x v="8"/>
    <x v="14"/>
    <x v="10"/>
    <n v="6"/>
    <n v="8"/>
    <n v="-6"/>
    <n v="6"/>
    <n v="3"/>
    <n v="10"/>
    <n v="-9"/>
    <n v="42"/>
  </r>
  <r>
    <x v="23"/>
    <x v="14"/>
    <x v="5"/>
    <n v="2"/>
    <n v="9"/>
    <n v="-2"/>
    <n v="4"/>
    <n v="3"/>
    <n v="12"/>
    <n v="-22"/>
    <n v="41"/>
  </r>
  <r>
    <x v="33"/>
    <x v="14"/>
    <x v="4"/>
    <n v="7"/>
    <n v="5"/>
    <n v="0"/>
    <n v="1"/>
    <n v="8"/>
    <n v="10"/>
    <n v="-22"/>
    <n v="39"/>
  </r>
  <r>
    <x v="14"/>
    <x v="14"/>
    <x v="4"/>
    <n v="6"/>
    <n v="6"/>
    <n v="3"/>
    <n v="3"/>
    <n v="2"/>
    <n v="14"/>
    <n v="-26"/>
    <n v="38"/>
  </r>
  <r>
    <x v="38"/>
    <x v="14"/>
    <x v="10"/>
    <n v="4"/>
    <n v="10"/>
    <n v="-12"/>
    <n v="5"/>
    <n v="4"/>
    <n v="10"/>
    <n v="-10"/>
    <n v="38"/>
  </r>
  <r>
    <x v="30"/>
    <x v="14"/>
    <x v="4"/>
    <n v="5"/>
    <n v="7"/>
    <n v="-1"/>
    <n v="1"/>
    <n v="5"/>
    <n v="13"/>
    <n v="-25"/>
    <n v="34"/>
  </r>
  <r>
    <x v="32"/>
    <x v="14"/>
    <x v="14"/>
    <n v="9"/>
    <n v="7"/>
    <n v="-6"/>
    <n v="2"/>
    <n v="4"/>
    <n v="13"/>
    <n v="-24"/>
    <n v="28"/>
  </r>
  <r>
    <x v="0"/>
    <x v="15"/>
    <x v="11"/>
    <n v="1"/>
    <n v="1"/>
    <n v="40"/>
    <n v="10"/>
    <n v="5"/>
    <n v="4"/>
    <n v="18"/>
    <n v="87"/>
  </r>
  <r>
    <x v="10"/>
    <x v="15"/>
    <x v="7"/>
    <n v="7"/>
    <n v="0"/>
    <n v="23"/>
    <n v="13"/>
    <n v="3"/>
    <n v="3"/>
    <n v="16"/>
    <n v="85"/>
  </r>
  <r>
    <x v="9"/>
    <x v="15"/>
    <x v="0"/>
    <n v="5"/>
    <n v="0"/>
    <n v="26"/>
    <n v="10"/>
    <n v="6"/>
    <n v="3"/>
    <n v="17"/>
    <n v="83"/>
  </r>
  <r>
    <x v="6"/>
    <x v="15"/>
    <x v="7"/>
    <n v="6"/>
    <n v="1"/>
    <n v="30"/>
    <n v="9"/>
    <n v="7"/>
    <n v="3"/>
    <n v="9"/>
    <n v="76"/>
  </r>
  <r>
    <x v="12"/>
    <x v="15"/>
    <x v="2"/>
    <n v="4"/>
    <n v="4"/>
    <n v="17"/>
    <n v="8"/>
    <n v="4"/>
    <n v="7"/>
    <n v="5"/>
    <n v="65"/>
  </r>
  <r>
    <x v="1"/>
    <x v="15"/>
    <x v="6"/>
    <n v="3"/>
    <n v="6"/>
    <n v="12"/>
    <n v="6"/>
    <n v="9"/>
    <n v="4"/>
    <n v="8"/>
    <n v="60"/>
  </r>
  <r>
    <x v="3"/>
    <x v="15"/>
    <x v="5"/>
    <n v="7"/>
    <n v="4"/>
    <n v="7"/>
    <n v="7"/>
    <n v="6"/>
    <n v="6"/>
    <n v="-5"/>
    <n v="58"/>
  </r>
  <r>
    <x v="36"/>
    <x v="15"/>
    <x v="4"/>
    <n v="8"/>
    <n v="4"/>
    <n v="10"/>
    <n v="9"/>
    <n v="1"/>
    <n v="9"/>
    <n v="-2"/>
    <n v="57"/>
  </r>
  <r>
    <x v="8"/>
    <x v="15"/>
    <x v="2"/>
    <n v="4"/>
    <n v="4"/>
    <n v="8"/>
    <n v="4"/>
    <n v="6"/>
    <n v="9"/>
    <n v="-16"/>
    <n v="55"/>
  </r>
  <r>
    <x v="23"/>
    <x v="15"/>
    <x v="4"/>
    <n v="7"/>
    <n v="5"/>
    <n v="0"/>
    <n v="6"/>
    <n v="3"/>
    <n v="10"/>
    <n v="-8"/>
    <n v="49"/>
  </r>
  <r>
    <x v="5"/>
    <x v="15"/>
    <x v="5"/>
    <n v="5"/>
    <n v="6"/>
    <n v="12"/>
    <n v="3"/>
    <n v="8"/>
    <n v="8"/>
    <n v="-7"/>
    <n v="46"/>
  </r>
  <r>
    <x v="22"/>
    <x v="15"/>
    <x v="5"/>
    <n v="5"/>
    <n v="6"/>
    <n v="-1"/>
    <n v="3"/>
    <n v="5"/>
    <n v="11"/>
    <n v="-19"/>
    <n v="43"/>
  </r>
  <r>
    <x v="20"/>
    <x v="15"/>
    <x v="4"/>
    <n v="5"/>
    <n v="7"/>
    <n v="4"/>
    <n v="3"/>
    <n v="7"/>
    <n v="9"/>
    <n v="-14"/>
    <n v="42"/>
  </r>
  <r>
    <x v="38"/>
    <x v="15"/>
    <x v="5"/>
    <n v="5"/>
    <n v="6"/>
    <n v="4"/>
    <n v="2"/>
    <n v="5"/>
    <n v="12"/>
    <n v="-21"/>
    <n v="40"/>
  </r>
  <r>
    <x v="28"/>
    <x v="15"/>
    <x v="3"/>
    <n v="3"/>
    <n v="7"/>
    <n v="2"/>
    <n v="2"/>
    <n v="3"/>
    <n v="14"/>
    <n v="-25"/>
    <n v="39"/>
  </r>
  <r>
    <x v="26"/>
    <x v="15"/>
    <x v="4"/>
    <n v="5"/>
    <n v="7"/>
    <n v="5"/>
    <n v="2"/>
    <n v="5"/>
    <n v="12"/>
    <n v="-23"/>
    <n v="37"/>
  </r>
  <r>
    <x v="33"/>
    <x v="15"/>
    <x v="10"/>
    <n v="5"/>
    <n v="9"/>
    <n v="-9"/>
    <n v="3"/>
    <n v="7"/>
    <n v="9"/>
    <n v="-13"/>
    <n v="36"/>
  </r>
  <r>
    <x v="39"/>
    <x v="15"/>
    <x v="5"/>
    <n v="2"/>
    <n v="9"/>
    <n v="-6"/>
    <n v="2"/>
    <n v="4"/>
    <n v="13"/>
    <n v="-19"/>
    <n v="36"/>
  </r>
  <r>
    <x v="34"/>
    <x v="15"/>
    <x v="8"/>
    <n v="8"/>
    <n v="5"/>
    <n v="7"/>
    <n v="2"/>
    <n v="3"/>
    <n v="14"/>
    <n v="-23"/>
    <n v="35"/>
  </r>
  <r>
    <x v="27"/>
    <x v="15"/>
    <x v="17"/>
    <n v="5"/>
    <n v="13"/>
    <n v="-31"/>
    <n v="0"/>
    <n v="3"/>
    <n v="16"/>
    <n v="-38"/>
    <n v="11"/>
  </r>
  <r>
    <x v="0"/>
    <x v="16"/>
    <x v="12"/>
    <n v="2"/>
    <n v="1"/>
    <n v="30"/>
    <n v="12"/>
    <n v="4"/>
    <n v="3"/>
    <n v="14"/>
    <n v="90"/>
  </r>
  <r>
    <x v="6"/>
    <x v="16"/>
    <x v="7"/>
    <n v="7"/>
    <n v="0"/>
    <n v="28"/>
    <n v="13"/>
    <n v="4"/>
    <n v="2"/>
    <n v="22"/>
    <n v="86"/>
  </r>
  <r>
    <x v="10"/>
    <x v="16"/>
    <x v="2"/>
    <n v="6"/>
    <n v="2"/>
    <n v="21"/>
    <n v="14"/>
    <n v="2"/>
    <n v="3"/>
    <n v="23"/>
    <n v="83"/>
  </r>
  <r>
    <x v="9"/>
    <x v="16"/>
    <x v="2"/>
    <n v="5"/>
    <n v="3"/>
    <n v="15"/>
    <n v="9"/>
    <n v="7"/>
    <n v="3"/>
    <n v="16"/>
    <n v="72"/>
  </r>
  <r>
    <x v="12"/>
    <x v="16"/>
    <x v="5"/>
    <n v="6"/>
    <n v="5"/>
    <n v="11"/>
    <n v="9"/>
    <n v="6"/>
    <n v="4"/>
    <n v="7"/>
    <n v="63"/>
  </r>
  <r>
    <x v="1"/>
    <x v="16"/>
    <x v="4"/>
    <n v="9"/>
    <n v="3"/>
    <n v="6"/>
    <n v="10"/>
    <n v="2"/>
    <n v="7"/>
    <n v="0"/>
    <n v="62"/>
  </r>
  <r>
    <x v="33"/>
    <x v="16"/>
    <x v="2"/>
    <n v="3"/>
    <n v="5"/>
    <n v="12"/>
    <n v="3"/>
    <n v="8"/>
    <n v="8"/>
    <n v="-7"/>
    <n v="53"/>
  </r>
  <r>
    <x v="5"/>
    <x v="16"/>
    <x v="6"/>
    <n v="5"/>
    <n v="4"/>
    <n v="11"/>
    <n v="4"/>
    <n v="4"/>
    <n v="11"/>
    <n v="-11"/>
    <n v="51"/>
  </r>
  <r>
    <x v="23"/>
    <x v="16"/>
    <x v="3"/>
    <n v="2"/>
    <n v="8"/>
    <n v="1"/>
    <n v="5"/>
    <n v="7"/>
    <n v="7"/>
    <n v="-4"/>
    <n v="51"/>
  </r>
  <r>
    <x v="8"/>
    <x v="16"/>
    <x v="1"/>
    <n v="0"/>
    <n v="6"/>
    <n v="22"/>
    <n v="2"/>
    <n v="5"/>
    <n v="12"/>
    <n v="-14"/>
    <n v="50"/>
  </r>
  <r>
    <x v="40"/>
    <x v="16"/>
    <x v="6"/>
    <n v="5"/>
    <n v="4"/>
    <n v="7"/>
    <n v="2"/>
    <n v="4"/>
    <n v="13"/>
    <n v="-24"/>
    <n v="45"/>
  </r>
  <r>
    <x v="38"/>
    <x v="16"/>
    <x v="5"/>
    <n v="5"/>
    <n v="6"/>
    <n v="-1"/>
    <n v="4"/>
    <n v="4"/>
    <n v="11"/>
    <n v="-10"/>
    <n v="45"/>
  </r>
  <r>
    <x v="26"/>
    <x v="16"/>
    <x v="4"/>
    <n v="5"/>
    <n v="7"/>
    <n v="0"/>
    <n v="4"/>
    <n v="3"/>
    <n v="12"/>
    <n v="-12"/>
    <n v="41"/>
  </r>
  <r>
    <x v="36"/>
    <x v="16"/>
    <x v="5"/>
    <n v="3"/>
    <n v="8"/>
    <n v="-3"/>
    <n v="2"/>
    <n v="8"/>
    <n v="9"/>
    <n v="-16"/>
    <n v="41"/>
  </r>
  <r>
    <x v="3"/>
    <x v="16"/>
    <x v="8"/>
    <n v="7"/>
    <n v="6"/>
    <n v="-1"/>
    <n v="4"/>
    <n v="4"/>
    <n v="11"/>
    <n v="-19"/>
    <n v="41"/>
  </r>
  <r>
    <x v="28"/>
    <x v="16"/>
    <x v="8"/>
    <n v="3"/>
    <n v="10"/>
    <n v="-4"/>
    <n v="3"/>
    <n v="6"/>
    <n v="10"/>
    <n v="-16"/>
    <n v="36"/>
  </r>
  <r>
    <x v="41"/>
    <x v="16"/>
    <x v="14"/>
    <n v="5"/>
    <n v="11"/>
    <n v="-18"/>
    <n v="5"/>
    <n v="6"/>
    <n v="8"/>
    <n v="-7"/>
    <n v="35"/>
  </r>
  <r>
    <x v="22"/>
    <x v="16"/>
    <x v="10"/>
    <n v="7"/>
    <n v="7"/>
    <n v="-5"/>
    <n v="2"/>
    <n v="6"/>
    <n v="11"/>
    <n v="-14"/>
    <n v="34"/>
  </r>
  <r>
    <x v="35"/>
    <x v="16"/>
    <x v="4"/>
    <n v="3"/>
    <n v="9"/>
    <n v="-7"/>
    <n v="1"/>
    <n v="5"/>
    <n v="13"/>
    <n v="-24"/>
    <n v="32"/>
  </r>
  <r>
    <x v="20"/>
    <x v="16"/>
    <x v="10"/>
    <n v="9"/>
    <n v="5"/>
    <n v="-3"/>
    <n v="2"/>
    <n v="2"/>
    <n v="15"/>
    <n v="-26"/>
    <n v="32"/>
  </r>
  <r>
    <x v="10"/>
    <x v="17"/>
    <x v="11"/>
    <n v="1"/>
    <n v="1"/>
    <n v="54"/>
    <n v="10"/>
    <n v="4"/>
    <n v="5"/>
    <n v="17"/>
    <n v="86"/>
  </r>
  <r>
    <x v="0"/>
    <x v="17"/>
    <x v="12"/>
    <n v="1"/>
    <n v="2"/>
    <n v="40"/>
    <n v="11"/>
    <n v="3"/>
    <n v="5"/>
    <n v="18"/>
    <n v="85"/>
  </r>
  <r>
    <x v="9"/>
    <x v="17"/>
    <x v="13"/>
    <n v="2"/>
    <n v="2"/>
    <n v="33"/>
    <n v="8"/>
    <n v="4"/>
    <n v="7"/>
    <n v="9"/>
    <n v="75"/>
  </r>
  <r>
    <x v="5"/>
    <x v="17"/>
    <x v="0"/>
    <n v="2"/>
    <n v="3"/>
    <n v="28"/>
    <n v="7"/>
    <n v="5"/>
    <n v="7"/>
    <n v="-2"/>
    <n v="70"/>
  </r>
  <r>
    <x v="8"/>
    <x v="17"/>
    <x v="7"/>
    <n v="4"/>
    <n v="3"/>
    <n v="21"/>
    <n v="6"/>
    <n v="9"/>
    <n v="4"/>
    <n v="7"/>
    <n v="67"/>
  </r>
  <r>
    <x v="1"/>
    <x v="17"/>
    <x v="5"/>
    <n v="8"/>
    <n v="3"/>
    <n v="13"/>
    <n v="9"/>
    <n v="5"/>
    <n v="5"/>
    <n v="0"/>
    <n v="64"/>
  </r>
  <r>
    <x v="6"/>
    <x v="17"/>
    <x v="1"/>
    <n v="3"/>
    <n v="3"/>
    <n v="28"/>
    <n v="5"/>
    <n v="6"/>
    <n v="8"/>
    <n v="-2"/>
    <n v="63"/>
  </r>
  <r>
    <x v="12"/>
    <x v="17"/>
    <x v="2"/>
    <n v="6"/>
    <n v="2"/>
    <n v="14"/>
    <n v="5"/>
    <n v="7"/>
    <n v="7"/>
    <n v="-3"/>
    <n v="61"/>
  </r>
  <r>
    <x v="3"/>
    <x v="17"/>
    <x v="6"/>
    <n v="6"/>
    <n v="3"/>
    <n v="10"/>
    <n v="3"/>
    <n v="5"/>
    <n v="11"/>
    <n v="-24"/>
    <n v="50"/>
  </r>
  <r>
    <x v="34"/>
    <x v="17"/>
    <x v="5"/>
    <n v="9"/>
    <n v="2"/>
    <n v="6"/>
    <n v="5"/>
    <n v="2"/>
    <n v="12"/>
    <n v="-15"/>
    <n v="50"/>
  </r>
  <r>
    <x v="40"/>
    <x v="17"/>
    <x v="4"/>
    <n v="6"/>
    <n v="6"/>
    <n v="3"/>
    <n v="4"/>
    <n v="8"/>
    <n v="7"/>
    <n v="-17"/>
    <n v="47"/>
  </r>
  <r>
    <x v="33"/>
    <x v="17"/>
    <x v="2"/>
    <n v="3"/>
    <n v="5"/>
    <n v="12"/>
    <n v="1"/>
    <n v="7"/>
    <n v="11"/>
    <n v="-19"/>
    <n v="46"/>
  </r>
  <r>
    <x v="28"/>
    <x v="17"/>
    <x v="3"/>
    <n v="7"/>
    <n v="3"/>
    <n v="13"/>
    <n v="2"/>
    <n v="4"/>
    <n v="13"/>
    <n v="-21"/>
    <n v="44"/>
  </r>
  <r>
    <x v="26"/>
    <x v="17"/>
    <x v="8"/>
    <n v="6"/>
    <n v="7"/>
    <n v="-5"/>
    <n v="4"/>
    <n v="3"/>
    <n v="12"/>
    <n v="-20"/>
    <n v="39"/>
  </r>
  <r>
    <x v="37"/>
    <x v="17"/>
    <x v="10"/>
    <n v="6"/>
    <n v="8"/>
    <n v="-9"/>
    <n v="4"/>
    <n v="5"/>
    <n v="10"/>
    <n v="-15"/>
    <n v="38"/>
  </r>
  <r>
    <x v="38"/>
    <x v="17"/>
    <x v="8"/>
    <n v="7"/>
    <n v="6"/>
    <n v="-5"/>
    <n v="3"/>
    <n v="2"/>
    <n v="14"/>
    <n v="-37"/>
    <n v="36"/>
  </r>
  <r>
    <x v="23"/>
    <x v="17"/>
    <x v="4"/>
    <n v="5"/>
    <n v="7"/>
    <n v="1"/>
    <n v="1"/>
    <n v="6"/>
    <n v="12"/>
    <n v="-20"/>
    <n v="35"/>
  </r>
  <r>
    <x v="42"/>
    <x v="17"/>
    <x v="4"/>
    <n v="5"/>
    <n v="7"/>
    <n v="-5"/>
    <n v="1"/>
    <n v="1"/>
    <n v="17"/>
    <n v="-35"/>
    <n v="30"/>
  </r>
  <r>
    <x v="41"/>
    <x v="17"/>
    <x v="8"/>
    <n v="6"/>
    <n v="7"/>
    <n v="-7"/>
    <n v="0"/>
    <n v="6"/>
    <n v="13"/>
    <n v="-34"/>
    <n v="30"/>
  </r>
  <r>
    <x v="36"/>
    <x v="17"/>
    <x v="10"/>
    <n v="3"/>
    <n v="11"/>
    <n v="-8"/>
    <n v="2"/>
    <n v="4"/>
    <n v="13"/>
    <n v="-24"/>
    <n v="28"/>
  </r>
  <r>
    <x v="0"/>
    <x v="18"/>
    <x v="16"/>
    <n v="1"/>
    <n v="0"/>
    <n v="37"/>
    <n v="5"/>
    <n v="10"/>
    <n v="4"/>
    <n v="4"/>
    <n v="80"/>
  </r>
  <r>
    <x v="10"/>
    <x v="18"/>
    <x v="0"/>
    <n v="3"/>
    <n v="2"/>
    <n v="26"/>
    <n v="7"/>
    <n v="5"/>
    <n v="7"/>
    <n v="10"/>
    <n v="71"/>
  </r>
  <r>
    <x v="8"/>
    <x v="18"/>
    <x v="1"/>
    <n v="4"/>
    <n v="2"/>
    <n v="22"/>
    <n v="8"/>
    <n v="4"/>
    <n v="7"/>
    <n v="5"/>
    <n v="71"/>
  </r>
  <r>
    <x v="9"/>
    <x v="18"/>
    <x v="2"/>
    <n v="4"/>
    <n v="4"/>
    <n v="18"/>
    <n v="8"/>
    <n v="7"/>
    <n v="4"/>
    <n v="11"/>
    <n v="68"/>
  </r>
  <r>
    <x v="5"/>
    <x v="18"/>
    <x v="3"/>
    <n v="9"/>
    <n v="1"/>
    <n v="11"/>
    <n v="7"/>
    <n v="5"/>
    <n v="7"/>
    <n v="-2"/>
    <n v="62"/>
  </r>
  <r>
    <x v="6"/>
    <x v="18"/>
    <x v="7"/>
    <n v="4"/>
    <n v="3"/>
    <n v="23"/>
    <n v="5"/>
    <n v="3"/>
    <n v="11"/>
    <n v="-8"/>
    <n v="58"/>
  </r>
  <r>
    <x v="12"/>
    <x v="18"/>
    <x v="3"/>
    <n v="7"/>
    <n v="3"/>
    <n v="8"/>
    <n v="4"/>
    <n v="8"/>
    <n v="7"/>
    <n v="-2"/>
    <n v="54"/>
  </r>
  <r>
    <x v="33"/>
    <x v="18"/>
    <x v="5"/>
    <n v="7"/>
    <n v="4"/>
    <n v="7"/>
    <n v="3"/>
    <n v="9"/>
    <n v="7"/>
    <n v="-1"/>
    <n v="49"/>
  </r>
  <r>
    <x v="1"/>
    <x v="18"/>
    <x v="5"/>
    <n v="7"/>
    <n v="4"/>
    <n v="7"/>
    <n v="4"/>
    <n v="5"/>
    <n v="10"/>
    <n v="-18"/>
    <n v="48"/>
  </r>
  <r>
    <x v="28"/>
    <x v="18"/>
    <x v="4"/>
    <n v="5"/>
    <n v="7"/>
    <n v="-2"/>
    <n v="5"/>
    <n v="6"/>
    <n v="8"/>
    <n v="-9"/>
    <n v="47"/>
  </r>
  <r>
    <x v="35"/>
    <x v="18"/>
    <x v="5"/>
    <n v="6"/>
    <n v="5"/>
    <n v="0"/>
    <n v="4"/>
    <n v="5"/>
    <n v="10"/>
    <n v="-15"/>
    <n v="47"/>
  </r>
  <r>
    <x v="22"/>
    <x v="18"/>
    <x v="8"/>
    <n v="8"/>
    <n v="5"/>
    <n v="14"/>
    <n v="5"/>
    <n v="5"/>
    <n v="9"/>
    <n v="-15"/>
    <n v="46"/>
  </r>
  <r>
    <x v="40"/>
    <x v="18"/>
    <x v="6"/>
    <n v="4"/>
    <n v="5"/>
    <n v="13"/>
    <n v="3"/>
    <n v="3"/>
    <n v="13"/>
    <n v="-15"/>
    <n v="46"/>
  </r>
  <r>
    <x v="26"/>
    <x v="18"/>
    <x v="6"/>
    <n v="5"/>
    <n v="4"/>
    <n v="10"/>
    <n v="2"/>
    <n v="5"/>
    <n v="12"/>
    <n v="-14"/>
    <n v="46"/>
  </r>
  <r>
    <x v="3"/>
    <x v="18"/>
    <x v="4"/>
    <n v="7"/>
    <n v="5"/>
    <n v="6"/>
    <n v="4"/>
    <n v="3"/>
    <n v="12"/>
    <n v="-19"/>
    <n v="43"/>
  </r>
  <r>
    <x v="38"/>
    <x v="18"/>
    <x v="10"/>
    <n v="8"/>
    <n v="6"/>
    <n v="-12"/>
    <n v="4"/>
    <n v="7"/>
    <n v="8"/>
    <n v="-9"/>
    <n v="42"/>
  </r>
  <r>
    <x v="37"/>
    <x v="18"/>
    <x v="5"/>
    <n v="4"/>
    <n v="7"/>
    <n v="0"/>
    <n v="3"/>
    <n v="3"/>
    <n v="13"/>
    <n v="-20"/>
    <n v="40"/>
  </r>
  <r>
    <x v="34"/>
    <x v="18"/>
    <x v="8"/>
    <n v="8"/>
    <n v="5"/>
    <n v="-3"/>
    <n v="2"/>
    <n v="7"/>
    <n v="10"/>
    <n v="-18"/>
    <n v="39"/>
  </r>
  <r>
    <x v="43"/>
    <x v="18"/>
    <x v="10"/>
    <n v="5"/>
    <n v="9"/>
    <n v="-7"/>
    <n v="5"/>
    <n v="4"/>
    <n v="10"/>
    <n v="-16"/>
    <n v="39"/>
  </r>
  <r>
    <x v="23"/>
    <x v="18"/>
    <x v="10"/>
    <n v="5"/>
    <n v="9"/>
    <n v="-7"/>
    <n v="2"/>
    <n v="7"/>
    <n v="10"/>
    <n v="-20"/>
    <n v="33"/>
  </r>
  <r>
    <x v="8"/>
    <x v="19"/>
    <x v="16"/>
    <n v="1"/>
    <n v="0"/>
    <n v="43"/>
    <n v="10"/>
    <n v="4"/>
    <n v="5"/>
    <n v="21"/>
    <n v="89"/>
  </r>
  <r>
    <x v="0"/>
    <x v="19"/>
    <x v="13"/>
    <n v="2"/>
    <n v="2"/>
    <n v="33"/>
    <n v="13"/>
    <n v="3"/>
    <n v="3"/>
    <n v="23"/>
    <n v="89"/>
  </r>
  <r>
    <x v="9"/>
    <x v="19"/>
    <x v="7"/>
    <n v="4"/>
    <n v="3"/>
    <n v="22"/>
    <n v="9"/>
    <n v="3"/>
    <n v="7"/>
    <n v="3"/>
    <n v="70"/>
  </r>
  <r>
    <x v="5"/>
    <x v="19"/>
    <x v="1"/>
    <n v="3"/>
    <n v="3"/>
    <n v="22"/>
    <n v="7"/>
    <n v="6"/>
    <n v="6"/>
    <n v="3"/>
    <n v="69"/>
  </r>
  <r>
    <x v="22"/>
    <x v="19"/>
    <x v="2"/>
    <n v="5"/>
    <n v="3"/>
    <n v="12"/>
    <n v="8"/>
    <n v="3"/>
    <n v="8"/>
    <n v="-7"/>
    <n v="65"/>
  </r>
  <r>
    <x v="10"/>
    <x v="19"/>
    <x v="7"/>
    <n v="3"/>
    <n v="4"/>
    <n v="17"/>
    <n v="6"/>
    <n v="7"/>
    <n v="6"/>
    <n v="2"/>
    <n v="64"/>
  </r>
  <r>
    <x v="12"/>
    <x v="19"/>
    <x v="6"/>
    <n v="3"/>
    <n v="6"/>
    <n v="13"/>
    <n v="5"/>
    <n v="8"/>
    <n v="6"/>
    <n v="-3"/>
    <n v="56"/>
  </r>
  <r>
    <x v="33"/>
    <x v="19"/>
    <x v="6"/>
    <n v="5"/>
    <n v="4"/>
    <n v="10"/>
    <n v="4"/>
    <n v="5"/>
    <n v="10"/>
    <n v="-13"/>
    <n v="52"/>
  </r>
  <r>
    <x v="6"/>
    <x v="19"/>
    <x v="8"/>
    <n v="9"/>
    <n v="4"/>
    <n v="8"/>
    <n v="8"/>
    <n v="1"/>
    <n v="10"/>
    <n v="-1"/>
    <n v="52"/>
  </r>
  <r>
    <x v="2"/>
    <x v="19"/>
    <x v="4"/>
    <n v="6"/>
    <n v="6"/>
    <n v="-2"/>
    <n v="5"/>
    <n v="5"/>
    <n v="9"/>
    <n v="-12"/>
    <n v="47"/>
  </r>
  <r>
    <x v="35"/>
    <x v="19"/>
    <x v="8"/>
    <n v="3"/>
    <n v="10"/>
    <n v="-1"/>
    <n v="7"/>
    <n v="5"/>
    <n v="7"/>
    <n v="-6"/>
    <n v="47"/>
  </r>
  <r>
    <x v="44"/>
    <x v="19"/>
    <x v="5"/>
    <n v="7"/>
    <n v="4"/>
    <n v="9"/>
    <n v="4"/>
    <n v="4"/>
    <n v="11"/>
    <n v="-16"/>
    <n v="47"/>
  </r>
  <r>
    <x v="40"/>
    <x v="19"/>
    <x v="4"/>
    <n v="8"/>
    <n v="4"/>
    <n v="5"/>
    <n v="4"/>
    <n v="4"/>
    <n v="11"/>
    <n v="-22"/>
    <n v="45"/>
  </r>
  <r>
    <x v="28"/>
    <x v="19"/>
    <x v="4"/>
    <n v="7"/>
    <n v="5"/>
    <n v="9"/>
    <n v="4"/>
    <n v="5"/>
    <n v="10"/>
    <n v="-10"/>
    <n v="45"/>
  </r>
  <r>
    <x v="38"/>
    <x v="19"/>
    <x v="10"/>
    <n v="7"/>
    <n v="7"/>
    <n v="-5"/>
    <n v="6"/>
    <n v="3"/>
    <n v="10"/>
    <n v="-15"/>
    <n v="43"/>
  </r>
  <r>
    <x v="1"/>
    <x v="19"/>
    <x v="9"/>
    <n v="7"/>
    <n v="8"/>
    <n v="-5"/>
    <n v="3"/>
    <n v="10"/>
    <n v="6"/>
    <n v="-11"/>
    <n v="38"/>
  </r>
  <r>
    <x v="4"/>
    <x v="19"/>
    <x v="4"/>
    <n v="5"/>
    <n v="7"/>
    <n v="-1"/>
    <n v="3"/>
    <n v="2"/>
    <n v="14"/>
    <n v="-22"/>
    <n v="37"/>
  </r>
  <r>
    <x v="26"/>
    <x v="19"/>
    <x v="9"/>
    <n v="4"/>
    <n v="11"/>
    <n v="-16"/>
    <n v="6"/>
    <n v="2"/>
    <n v="11"/>
    <n v="-15"/>
    <n v="36"/>
  </r>
  <r>
    <x v="3"/>
    <x v="19"/>
    <x v="8"/>
    <n v="1"/>
    <n v="12"/>
    <n v="-7"/>
    <n v="2"/>
    <n v="6"/>
    <n v="11"/>
    <n v="-23"/>
    <n v="31"/>
  </r>
  <r>
    <x v="37"/>
    <x v="19"/>
    <x v="14"/>
    <n v="3"/>
    <n v="13"/>
    <n v="-24"/>
    <n v="2"/>
    <n v="7"/>
    <n v="10"/>
    <n v="-18"/>
    <n v="25"/>
  </r>
  <r>
    <x v="0"/>
    <x v="20"/>
    <x v="12"/>
    <n v="0"/>
    <n v="3"/>
    <n v="26"/>
    <n v="12"/>
    <n v="5"/>
    <n v="2"/>
    <n v="17"/>
    <n v="89"/>
  </r>
  <r>
    <x v="8"/>
    <x v="20"/>
    <x v="0"/>
    <n v="3"/>
    <n v="2"/>
    <n v="26"/>
    <n v="9"/>
    <n v="6"/>
    <n v="4"/>
    <n v="6"/>
    <n v="78"/>
  </r>
  <r>
    <x v="10"/>
    <x v="20"/>
    <x v="7"/>
    <n v="5"/>
    <n v="2"/>
    <n v="25"/>
    <n v="10"/>
    <n v="4"/>
    <n v="5"/>
    <n v="11"/>
    <n v="75"/>
  </r>
  <r>
    <x v="9"/>
    <x v="20"/>
    <x v="2"/>
    <n v="5"/>
    <n v="3"/>
    <n v="24"/>
    <n v="10"/>
    <n v="5"/>
    <n v="4"/>
    <n v="11"/>
    <n v="73"/>
  </r>
  <r>
    <x v="5"/>
    <x v="20"/>
    <x v="2"/>
    <n v="5"/>
    <n v="3"/>
    <n v="11"/>
    <n v="10"/>
    <n v="4"/>
    <n v="5"/>
    <n v="9"/>
    <n v="72"/>
  </r>
  <r>
    <x v="12"/>
    <x v="20"/>
    <x v="7"/>
    <n v="6"/>
    <n v="1"/>
    <n v="16"/>
    <n v="4"/>
    <n v="9"/>
    <n v="6"/>
    <n v="-1"/>
    <n v="63"/>
  </r>
  <r>
    <x v="6"/>
    <x v="20"/>
    <x v="3"/>
    <n v="6"/>
    <n v="4"/>
    <n v="17"/>
    <n v="7"/>
    <n v="7"/>
    <n v="5"/>
    <n v="11"/>
    <n v="61"/>
  </r>
  <r>
    <x v="35"/>
    <x v="20"/>
    <x v="3"/>
    <n v="4"/>
    <n v="6"/>
    <n v="7"/>
    <n v="5"/>
    <n v="3"/>
    <n v="11"/>
    <n v="-11"/>
    <n v="49"/>
  </r>
  <r>
    <x v="23"/>
    <x v="20"/>
    <x v="3"/>
    <n v="6"/>
    <n v="4"/>
    <n v="12"/>
    <n v="3"/>
    <n v="4"/>
    <n v="12"/>
    <n v="-20"/>
    <n v="46"/>
  </r>
  <r>
    <x v="44"/>
    <x v="20"/>
    <x v="8"/>
    <n v="8"/>
    <n v="5"/>
    <n v="2"/>
    <n v="5"/>
    <n v="5"/>
    <n v="9"/>
    <n v="-6"/>
    <n v="46"/>
  </r>
  <r>
    <x v="2"/>
    <x v="20"/>
    <x v="5"/>
    <n v="7"/>
    <n v="4"/>
    <n v="5"/>
    <n v="2"/>
    <n v="7"/>
    <n v="10"/>
    <n v="-22"/>
    <n v="44"/>
  </r>
  <r>
    <x v="33"/>
    <x v="20"/>
    <x v="4"/>
    <n v="3"/>
    <n v="9"/>
    <n v="-2"/>
    <n v="4"/>
    <n v="7"/>
    <n v="8"/>
    <n v="-8"/>
    <n v="43"/>
  </r>
  <r>
    <x v="40"/>
    <x v="20"/>
    <x v="4"/>
    <n v="7"/>
    <n v="5"/>
    <n v="-1"/>
    <n v="2"/>
    <n v="8"/>
    <n v="9"/>
    <n v="-10"/>
    <n v="42"/>
  </r>
  <r>
    <x v="22"/>
    <x v="20"/>
    <x v="3"/>
    <n v="1"/>
    <n v="9"/>
    <n v="-7"/>
    <n v="2"/>
    <n v="7"/>
    <n v="10"/>
    <n v="-16"/>
    <n v="41"/>
  </r>
  <r>
    <x v="17"/>
    <x v="20"/>
    <x v="8"/>
    <n v="7"/>
    <n v="6"/>
    <n v="2"/>
    <n v="3"/>
    <n v="7"/>
    <n v="9"/>
    <n v="-13"/>
    <n v="41"/>
  </r>
  <r>
    <x v="1"/>
    <x v="20"/>
    <x v="10"/>
    <n v="5"/>
    <n v="9"/>
    <n v="-5"/>
    <n v="5"/>
    <n v="6"/>
    <n v="8"/>
    <n v="-17"/>
    <n v="41"/>
  </r>
  <r>
    <x v="28"/>
    <x v="20"/>
    <x v="10"/>
    <n v="8"/>
    <n v="6"/>
    <n v="1"/>
    <n v="4"/>
    <n v="4"/>
    <n v="11"/>
    <n v="-14"/>
    <n v="39"/>
  </r>
  <r>
    <x v="38"/>
    <x v="20"/>
    <x v="9"/>
    <n v="6"/>
    <n v="9"/>
    <n v="-13"/>
    <n v="5"/>
    <n v="3"/>
    <n v="11"/>
    <n v="-13"/>
    <n v="36"/>
  </r>
  <r>
    <x v="39"/>
    <x v="20"/>
    <x v="9"/>
    <n v="8"/>
    <n v="7"/>
    <n v="-10"/>
    <n v="2"/>
    <n v="2"/>
    <n v="15"/>
    <n v="-20"/>
    <n v="28"/>
  </r>
  <r>
    <x v="4"/>
    <x v="20"/>
    <x v="15"/>
    <n v="8"/>
    <n v="9"/>
    <n v="-15"/>
    <n v="2"/>
    <n v="5"/>
    <n v="12"/>
    <n v="-15"/>
    <n v="25"/>
  </r>
  <r>
    <x v="8"/>
    <x v="21"/>
    <x v="11"/>
    <n v="1"/>
    <n v="1"/>
    <n v="50"/>
    <n v="10"/>
    <n v="4"/>
    <n v="5"/>
    <n v="15"/>
    <n v="86"/>
  </r>
  <r>
    <x v="6"/>
    <x v="21"/>
    <x v="12"/>
    <n v="1"/>
    <n v="2"/>
    <n v="35"/>
    <n v="10"/>
    <n v="5"/>
    <n v="4"/>
    <n v="16"/>
    <n v="84"/>
  </r>
  <r>
    <x v="10"/>
    <x v="21"/>
    <x v="13"/>
    <n v="3"/>
    <n v="1"/>
    <n v="32"/>
    <n v="10"/>
    <n v="4"/>
    <n v="5"/>
    <n v="12"/>
    <n v="82"/>
  </r>
  <r>
    <x v="9"/>
    <x v="21"/>
    <x v="1"/>
    <n v="5"/>
    <n v="1"/>
    <n v="25"/>
    <n v="11"/>
    <n v="2"/>
    <n v="6"/>
    <n v="2"/>
    <n v="79"/>
  </r>
  <r>
    <x v="12"/>
    <x v="21"/>
    <x v="1"/>
    <n v="3"/>
    <n v="3"/>
    <n v="19"/>
    <n v="8"/>
    <n v="6"/>
    <n v="5"/>
    <n v="3"/>
    <n v="72"/>
  </r>
  <r>
    <x v="5"/>
    <x v="21"/>
    <x v="2"/>
    <n v="3"/>
    <n v="5"/>
    <n v="7"/>
    <n v="10"/>
    <n v="3"/>
    <n v="6"/>
    <n v="-3"/>
    <n v="69"/>
  </r>
  <r>
    <x v="0"/>
    <x v="21"/>
    <x v="3"/>
    <n v="3"/>
    <n v="7"/>
    <n v="8"/>
    <n v="10"/>
    <n v="4"/>
    <n v="5"/>
    <n v="13"/>
    <n v="64"/>
  </r>
  <r>
    <x v="17"/>
    <x v="21"/>
    <x v="5"/>
    <n v="6"/>
    <n v="5"/>
    <n v="9"/>
    <n v="7"/>
    <n v="5"/>
    <n v="7"/>
    <n v="-1"/>
    <n v="56"/>
  </r>
  <r>
    <x v="40"/>
    <x v="21"/>
    <x v="6"/>
    <n v="6"/>
    <n v="3"/>
    <n v="10"/>
    <n v="3"/>
    <n v="5"/>
    <n v="11"/>
    <n v="-17"/>
    <n v="50"/>
  </r>
  <r>
    <x v="22"/>
    <x v="21"/>
    <x v="5"/>
    <n v="3"/>
    <n v="8"/>
    <n v="-5"/>
    <n v="7"/>
    <n v="1"/>
    <n v="11"/>
    <n v="-11"/>
    <n v="49"/>
  </r>
  <r>
    <x v="18"/>
    <x v="21"/>
    <x v="5"/>
    <n v="3"/>
    <n v="8"/>
    <n v="-5"/>
    <n v="5"/>
    <n v="3"/>
    <n v="11"/>
    <n v="-10"/>
    <n v="45"/>
  </r>
  <r>
    <x v="44"/>
    <x v="21"/>
    <x v="8"/>
    <n v="5"/>
    <n v="8"/>
    <n v="7"/>
    <n v="5"/>
    <n v="4"/>
    <n v="10"/>
    <n v="-7"/>
    <n v="42"/>
  </r>
  <r>
    <x v="23"/>
    <x v="21"/>
    <x v="4"/>
    <n v="3"/>
    <n v="9"/>
    <n v="-1"/>
    <n v="4"/>
    <n v="4"/>
    <n v="11"/>
    <n v="-10"/>
    <n v="40"/>
  </r>
  <r>
    <x v="28"/>
    <x v="21"/>
    <x v="10"/>
    <n v="3"/>
    <n v="11"/>
    <n v="-6"/>
    <n v="5"/>
    <n v="5"/>
    <n v="9"/>
    <n v="-13"/>
    <n v="38"/>
  </r>
  <r>
    <x v="1"/>
    <x v="21"/>
    <x v="8"/>
    <n v="3"/>
    <n v="10"/>
    <n v="-7"/>
    <n v="4"/>
    <n v="5"/>
    <n v="10"/>
    <n v="-15"/>
    <n v="38"/>
  </r>
  <r>
    <x v="41"/>
    <x v="21"/>
    <x v="4"/>
    <n v="4"/>
    <n v="8"/>
    <n v="-1"/>
    <n v="3"/>
    <n v="3"/>
    <n v="13"/>
    <n v="-14"/>
    <n v="37"/>
  </r>
  <r>
    <x v="35"/>
    <x v="21"/>
    <x v="9"/>
    <n v="9"/>
    <n v="6"/>
    <n v="-3"/>
    <n v="3"/>
    <n v="6"/>
    <n v="10"/>
    <n v="-13"/>
    <n v="36"/>
  </r>
  <r>
    <x v="2"/>
    <x v="21"/>
    <x v="8"/>
    <n v="6"/>
    <n v="7"/>
    <n v="-1"/>
    <n v="2"/>
    <n v="3"/>
    <n v="14"/>
    <n v="-33"/>
    <n v="33"/>
  </r>
  <r>
    <x v="33"/>
    <x v="21"/>
    <x v="10"/>
    <n v="3"/>
    <n v="11"/>
    <n v="-14"/>
    <n v="4"/>
    <n v="2"/>
    <n v="13"/>
    <n v="-31"/>
    <n v="32"/>
  </r>
  <r>
    <x v="45"/>
    <x v="21"/>
    <x v="10"/>
    <n v="5"/>
    <n v="9"/>
    <n v="-15"/>
    <n v="2"/>
    <n v="4"/>
    <n v="13"/>
    <n v="-27"/>
    <n v="30"/>
  </r>
  <r>
    <x v="10"/>
    <x v="22"/>
    <x v="13"/>
    <n v="4"/>
    <n v="0"/>
    <n v="27"/>
    <n v="11"/>
    <n v="5"/>
    <n v="3"/>
    <n v="14"/>
    <n v="87"/>
  </r>
  <r>
    <x v="8"/>
    <x v="22"/>
    <x v="0"/>
    <n v="3"/>
    <n v="2"/>
    <n v="30"/>
    <n v="10"/>
    <n v="4"/>
    <n v="5"/>
    <n v="15"/>
    <n v="79"/>
  </r>
  <r>
    <x v="9"/>
    <x v="22"/>
    <x v="7"/>
    <n v="5"/>
    <n v="2"/>
    <n v="27"/>
    <n v="10"/>
    <n v="4"/>
    <n v="5"/>
    <n v="8"/>
    <n v="75"/>
  </r>
  <r>
    <x v="0"/>
    <x v="22"/>
    <x v="0"/>
    <n v="2"/>
    <n v="3"/>
    <n v="26"/>
    <n v="6"/>
    <n v="8"/>
    <n v="5"/>
    <n v="-1"/>
    <n v="70"/>
  </r>
  <r>
    <x v="5"/>
    <x v="22"/>
    <x v="6"/>
    <n v="3"/>
    <n v="6"/>
    <n v="7"/>
    <n v="9"/>
    <n v="4"/>
    <n v="6"/>
    <n v="-2"/>
    <n v="64"/>
  </r>
  <r>
    <x v="6"/>
    <x v="22"/>
    <x v="6"/>
    <n v="5"/>
    <n v="4"/>
    <n v="10"/>
    <n v="8"/>
    <n v="3"/>
    <n v="8"/>
    <n v="-6"/>
    <n v="62"/>
  </r>
  <r>
    <x v="17"/>
    <x v="22"/>
    <x v="2"/>
    <n v="4"/>
    <n v="4"/>
    <n v="24"/>
    <n v="7"/>
    <n v="2"/>
    <n v="10"/>
    <n v="-3"/>
    <n v="60"/>
  </r>
  <r>
    <x v="44"/>
    <x v="22"/>
    <x v="3"/>
    <n v="5"/>
    <n v="5"/>
    <n v="5"/>
    <n v="7"/>
    <n v="3"/>
    <n v="9"/>
    <n v="-8"/>
    <n v="56"/>
  </r>
  <r>
    <x v="40"/>
    <x v="22"/>
    <x v="6"/>
    <n v="3"/>
    <n v="6"/>
    <n v="10"/>
    <n v="5"/>
    <n v="6"/>
    <n v="8"/>
    <n v="-7"/>
    <n v="54"/>
  </r>
  <r>
    <x v="18"/>
    <x v="22"/>
    <x v="8"/>
    <n v="3"/>
    <n v="10"/>
    <n v="-6"/>
    <n v="7"/>
    <n v="6"/>
    <n v="6"/>
    <n v="2"/>
    <n v="48"/>
  </r>
  <r>
    <x v="23"/>
    <x v="22"/>
    <x v="3"/>
    <n v="4"/>
    <n v="6"/>
    <n v="7"/>
    <n v="3"/>
    <n v="7"/>
    <n v="9"/>
    <n v="-10"/>
    <n v="47"/>
  </r>
  <r>
    <x v="12"/>
    <x v="22"/>
    <x v="4"/>
    <n v="7"/>
    <n v="5"/>
    <n v="6"/>
    <n v="5"/>
    <n v="4"/>
    <n v="10"/>
    <n v="-8"/>
    <n v="47"/>
  </r>
  <r>
    <x v="35"/>
    <x v="22"/>
    <x v="4"/>
    <n v="4"/>
    <n v="8"/>
    <n v="-2"/>
    <n v="4"/>
    <n v="7"/>
    <n v="8"/>
    <n v="-11"/>
    <n v="44"/>
  </r>
  <r>
    <x v="25"/>
    <x v="22"/>
    <x v="4"/>
    <n v="5"/>
    <n v="7"/>
    <n v="6"/>
    <n v="4"/>
    <n v="3"/>
    <n v="12"/>
    <n v="-15"/>
    <n v="41"/>
  </r>
  <r>
    <x v="22"/>
    <x v="22"/>
    <x v="4"/>
    <n v="5"/>
    <n v="7"/>
    <n v="-1"/>
    <n v="3"/>
    <n v="4"/>
    <n v="12"/>
    <n v="-22"/>
    <n v="39"/>
  </r>
  <r>
    <x v="1"/>
    <x v="22"/>
    <x v="10"/>
    <n v="6"/>
    <n v="8"/>
    <n v="-7"/>
    <n v="5"/>
    <n v="2"/>
    <n v="12"/>
    <n v="-19"/>
    <n v="38"/>
  </r>
  <r>
    <x v="28"/>
    <x v="22"/>
    <x v="9"/>
    <n v="8"/>
    <n v="7"/>
    <n v="-11"/>
    <n v="3"/>
    <n v="9"/>
    <n v="7"/>
    <n v="-11"/>
    <n v="38"/>
  </r>
  <r>
    <x v="41"/>
    <x v="22"/>
    <x v="10"/>
    <n v="5"/>
    <n v="9"/>
    <n v="-5"/>
    <n v="3"/>
    <n v="6"/>
    <n v="10"/>
    <n v="-13"/>
    <n v="35"/>
  </r>
  <r>
    <x v="42"/>
    <x v="22"/>
    <x v="9"/>
    <n v="7"/>
    <n v="8"/>
    <n v="-7"/>
    <n v="3"/>
    <n v="5"/>
    <n v="11"/>
    <n v="-18"/>
    <n v="33"/>
  </r>
  <r>
    <x v="4"/>
    <x v="22"/>
    <x v="8"/>
    <n v="5"/>
    <n v="8"/>
    <n v="-1"/>
    <n v="2"/>
    <n v="1"/>
    <n v="16"/>
    <n v="-30"/>
    <n v="30"/>
  </r>
  <r>
    <x v="25"/>
    <x v="23"/>
    <x v="7"/>
    <n v="6"/>
    <n v="1"/>
    <n v="17"/>
    <n v="11"/>
    <n v="6"/>
    <n v="2"/>
    <n v="15"/>
    <n v="81"/>
  </r>
  <r>
    <x v="9"/>
    <x v="23"/>
    <x v="7"/>
    <n v="4"/>
    <n v="3"/>
    <n v="20"/>
    <n v="8"/>
    <n v="7"/>
    <n v="4"/>
    <n v="9"/>
    <n v="71"/>
  </r>
  <r>
    <x v="5"/>
    <x v="23"/>
    <x v="6"/>
    <n v="6"/>
    <n v="3"/>
    <n v="20"/>
    <n v="9"/>
    <n v="7"/>
    <n v="3"/>
    <n v="14"/>
    <n v="70"/>
  </r>
  <r>
    <x v="8"/>
    <x v="23"/>
    <x v="7"/>
    <n v="2"/>
    <n v="5"/>
    <n v="26"/>
    <n v="7"/>
    <n v="7"/>
    <n v="5"/>
    <n v="4"/>
    <n v="66"/>
  </r>
  <r>
    <x v="0"/>
    <x v="23"/>
    <x v="7"/>
    <n v="5"/>
    <n v="2"/>
    <n v="18"/>
    <n v="7"/>
    <n v="4"/>
    <n v="8"/>
    <n v="-4"/>
    <n v="66"/>
  </r>
  <r>
    <x v="17"/>
    <x v="23"/>
    <x v="2"/>
    <n v="3"/>
    <n v="5"/>
    <n v="17"/>
    <n v="7"/>
    <n v="6"/>
    <n v="6"/>
    <n v="1"/>
    <n v="63"/>
  </r>
  <r>
    <x v="23"/>
    <x v="23"/>
    <x v="3"/>
    <n v="7"/>
    <n v="3"/>
    <n v="8"/>
    <n v="7"/>
    <n v="7"/>
    <n v="5"/>
    <n v="6"/>
    <n v="62"/>
  </r>
  <r>
    <x v="6"/>
    <x v="23"/>
    <x v="5"/>
    <n v="8"/>
    <n v="3"/>
    <n v="11"/>
    <n v="8"/>
    <n v="4"/>
    <n v="7"/>
    <n v="2"/>
    <n v="60"/>
  </r>
  <r>
    <x v="40"/>
    <x v="23"/>
    <x v="5"/>
    <n v="4"/>
    <n v="7"/>
    <n v="-2"/>
    <n v="6"/>
    <n v="5"/>
    <n v="8"/>
    <n v="-12"/>
    <n v="51"/>
  </r>
  <r>
    <x v="10"/>
    <x v="23"/>
    <x v="10"/>
    <n v="9"/>
    <n v="5"/>
    <n v="2"/>
    <n v="7"/>
    <n v="5"/>
    <n v="7"/>
    <n v="4"/>
    <n v="50"/>
  </r>
  <r>
    <x v="44"/>
    <x v="23"/>
    <x v="5"/>
    <n v="6"/>
    <n v="5"/>
    <n v="0"/>
    <n v="4"/>
    <n v="5"/>
    <n v="10"/>
    <n v="-10"/>
    <n v="47"/>
  </r>
  <r>
    <x v="12"/>
    <x v="23"/>
    <x v="8"/>
    <n v="5"/>
    <n v="8"/>
    <n v="5"/>
    <n v="5"/>
    <n v="9"/>
    <n v="5"/>
    <n v="-1"/>
    <n v="47"/>
  </r>
  <r>
    <x v="32"/>
    <x v="23"/>
    <x v="8"/>
    <n v="6"/>
    <n v="7"/>
    <n v="1"/>
    <n v="6"/>
    <n v="3"/>
    <n v="10"/>
    <n v="-11"/>
    <n v="45"/>
  </r>
  <r>
    <x v="35"/>
    <x v="23"/>
    <x v="8"/>
    <n v="5"/>
    <n v="8"/>
    <n v="-6"/>
    <n v="4"/>
    <n v="8"/>
    <n v="7"/>
    <n v="-8"/>
    <n v="43"/>
  </r>
  <r>
    <x v="18"/>
    <x v="23"/>
    <x v="8"/>
    <n v="3"/>
    <n v="10"/>
    <n v="-4"/>
    <n v="5"/>
    <n v="6"/>
    <n v="8"/>
    <n v="-8"/>
    <n v="42"/>
  </r>
  <r>
    <x v="46"/>
    <x v="23"/>
    <x v="10"/>
    <n v="5"/>
    <n v="9"/>
    <n v="-11"/>
    <n v="6"/>
    <n v="4"/>
    <n v="9"/>
    <n v="-11"/>
    <n v="42"/>
  </r>
  <r>
    <x v="28"/>
    <x v="23"/>
    <x v="8"/>
    <n v="6"/>
    <n v="7"/>
    <n v="3"/>
    <n v="3"/>
    <n v="6"/>
    <n v="10"/>
    <n v="-17"/>
    <n v="39"/>
  </r>
  <r>
    <x v="22"/>
    <x v="23"/>
    <x v="4"/>
    <n v="7"/>
    <n v="5"/>
    <n v="8"/>
    <n v="2"/>
    <n v="3"/>
    <n v="14"/>
    <n v="-29"/>
    <n v="37"/>
  </r>
  <r>
    <x v="2"/>
    <x v="23"/>
    <x v="8"/>
    <n v="5"/>
    <n v="8"/>
    <n v="-4"/>
    <n v="3"/>
    <n v="2"/>
    <n v="14"/>
    <n v="-24"/>
    <n v="34"/>
  </r>
  <r>
    <x v="1"/>
    <x v="23"/>
    <x v="15"/>
    <n v="5"/>
    <n v="12"/>
    <n v="-21"/>
    <n v="1"/>
    <n v="3"/>
    <n v="15"/>
    <n v="-28"/>
    <n v="17"/>
  </r>
  <r>
    <x v="10"/>
    <x v="24"/>
    <x v="11"/>
    <n v="0"/>
    <n v="2"/>
    <n v="38"/>
    <n v="13"/>
    <n v="3"/>
    <n v="3"/>
    <n v="14"/>
    <n v="93"/>
  </r>
  <r>
    <x v="5"/>
    <x v="24"/>
    <x v="11"/>
    <n v="2"/>
    <n v="0"/>
    <n v="38"/>
    <n v="9"/>
    <n v="6"/>
    <n v="4"/>
    <n v="22"/>
    <n v="86"/>
  </r>
  <r>
    <x v="8"/>
    <x v="24"/>
    <x v="2"/>
    <n v="7"/>
    <n v="1"/>
    <n v="20"/>
    <n v="12"/>
    <n v="2"/>
    <n v="5"/>
    <n v="21"/>
    <n v="78"/>
  </r>
  <r>
    <x v="6"/>
    <x v="24"/>
    <x v="7"/>
    <n v="5"/>
    <n v="2"/>
    <n v="27"/>
    <n v="10"/>
    <n v="5"/>
    <n v="4"/>
    <n v="9"/>
    <n v="76"/>
  </r>
  <r>
    <x v="9"/>
    <x v="24"/>
    <x v="0"/>
    <n v="3"/>
    <n v="2"/>
    <n v="23"/>
    <n v="9"/>
    <n v="3"/>
    <n v="7"/>
    <n v="10"/>
    <n v="75"/>
  </r>
  <r>
    <x v="0"/>
    <x v="24"/>
    <x v="5"/>
    <n v="10"/>
    <n v="1"/>
    <n v="14"/>
    <n v="10"/>
    <n v="5"/>
    <n v="4"/>
    <n v="11"/>
    <n v="69"/>
  </r>
  <r>
    <x v="12"/>
    <x v="24"/>
    <x v="1"/>
    <n v="4"/>
    <n v="2"/>
    <n v="26"/>
    <n v="4"/>
    <n v="6"/>
    <n v="9"/>
    <n v="-8"/>
    <n v="61"/>
  </r>
  <r>
    <x v="46"/>
    <x v="24"/>
    <x v="3"/>
    <n v="4"/>
    <n v="6"/>
    <n v="6"/>
    <n v="3"/>
    <n v="6"/>
    <n v="10"/>
    <n v="-18"/>
    <n v="46"/>
  </r>
  <r>
    <x v="17"/>
    <x v="24"/>
    <x v="8"/>
    <n v="6"/>
    <n v="7"/>
    <n v="-4"/>
    <n v="6"/>
    <n v="4"/>
    <n v="9"/>
    <n v="-3"/>
    <n v="46"/>
  </r>
  <r>
    <x v="23"/>
    <x v="24"/>
    <x v="4"/>
    <n v="4"/>
    <n v="8"/>
    <n v="-12"/>
    <n v="5"/>
    <n v="5"/>
    <n v="9"/>
    <n v="-5"/>
    <n v="45"/>
  </r>
  <r>
    <x v="35"/>
    <x v="24"/>
    <x v="3"/>
    <n v="2"/>
    <n v="8"/>
    <n v="5"/>
    <n v="3"/>
    <n v="7"/>
    <n v="9"/>
    <n v="-13"/>
    <n v="45"/>
  </r>
  <r>
    <x v="25"/>
    <x v="24"/>
    <x v="6"/>
    <n v="4"/>
    <n v="5"/>
    <n v="6"/>
    <n v="2"/>
    <n v="4"/>
    <n v="13"/>
    <n v="-21"/>
    <n v="44"/>
  </r>
  <r>
    <x v="40"/>
    <x v="24"/>
    <x v="4"/>
    <n v="6"/>
    <n v="6"/>
    <n v="0"/>
    <n v="4"/>
    <n v="5"/>
    <n v="10"/>
    <n v="-15"/>
    <n v="44"/>
  </r>
  <r>
    <x v="18"/>
    <x v="24"/>
    <x v="8"/>
    <n v="2"/>
    <n v="11"/>
    <n v="-1"/>
    <n v="6"/>
    <n v="3"/>
    <n v="10"/>
    <n v="-12"/>
    <n v="41"/>
  </r>
  <r>
    <x v="44"/>
    <x v="24"/>
    <x v="5"/>
    <n v="3"/>
    <n v="8"/>
    <n v="-7"/>
    <n v="4"/>
    <n v="2"/>
    <n v="13"/>
    <n v="-18"/>
    <n v="41"/>
  </r>
  <r>
    <x v="32"/>
    <x v="24"/>
    <x v="5"/>
    <n v="4"/>
    <n v="7"/>
    <n v="-4"/>
    <n v="3"/>
    <n v="3"/>
    <n v="13"/>
    <n v="-24"/>
    <n v="40"/>
  </r>
  <r>
    <x v="42"/>
    <x v="24"/>
    <x v="6"/>
    <n v="3"/>
    <n v="6"/>
    <n v="6"/>
    <n v="1"/>
    <n v="4"/>
    <n v="14"/>
    <n v="-22"/>
    <n v="40"/>
  </r>
  <r>
    <x v="41"/>
    <x v="24"/>
    <x v="5"/>
    <n v="4"/>
    <n v="7"/>
    <n v="-7"/>
    <n v="1"/>
    <n v="3"/>
    <n v="15"/>
    <n v="-36"/>
    <n v="34"/>
  </r>
  <r>
    <x v="20"/>
    <x v="24"/>
    <x v="9"/>
    <n v="6"/>
    <n v="9"/>
    <n v="-6"/>
    <n v="1"/>
    <n v="7"/>
    <n v="11"/>
    <n v="-20"/>
    <n v="28"/>
  </r>
  <r>
    <x v="28"/>
    <x v="24"/>
    <x v="14"/>
    <n v="5"/>
    <n v="11"/>
    <n v="-18"/>
    <n v="3"/>
    <n v="1"/>
    <n v="15"/>
    <n v="-22"/>
    <n v="24"/>
  </r>
  <r>
    <x v="8"/>
    <x v="25"/>
    <x v="12"/>
    <n v="2"/>
    <n v="1"/>
    <n v="47"/>
    <n v="16"/>
    <n v="2"/>
    <n v="1"/>
    <n v="32"/>
    <n v="100"/>
  </r>
  <r>
    <x v="0"/>
    <x v="25"/>
    <x v="13"/>
    <n v="2"/>
    <n v="2"/>
    <n v="29"/>
    <n v="10"/>
    <n v="4"/>
    <n v="5"/>
    <n v="11"/>
    <n v="81"/>
  </r>
  <r>
    <x v="5"/>
    <x v="25"/>
    <x v="1"/>
    <n v="4"/>
    <n v="2"/>
    <n v="24"/>
    <n v="10"/>
    <n v="4"/>
    <n v="5"/>
    <n v="14"/>
    <n v="77"/>
  </r>
  <r>
    <x v="6"/>
    <x v="25"/>
    <x v="7"/>
    <n v="7"/>
    <n v="0"/>
    <n v="35"/>
    <n v="9"/>
    <n v="5"/>
    <n v="5"/>
    <n v="11"/>
    <n v="75"/>
  </r>
  <r>
    <x v="10"/>
    <x v="25"/>
    <x v="2"/>
    <n v="4"/>
    <n v="4"/>
    <n v="14"/>
    <n v="10"/>
    <n v="3"/>
    <n v="6"/>
    <n v="10"/>
    <n v="70"/>
  </r>
  <r>
    <x v="9"/>
    <x v="25"/>
    <x v="13"/>
    <n v="2"/>
    <n v="2"/>
    <n v="34"/>
    <n v="4"/>
    <n v="4"/>
    <n v="11"/>
    <n v="-11"/>
    <n v="63"/>
  </r>
  <r>
    <x v="42"/>
    <x v="25"/>
    <x v="4"/>
    <n v="5"/>
    <n v="7"/>
    <n v="-1"/>
    <n v="7"/>
    <n v="7"/>
    <n v="5"/>
    <n v="-2"/>
    <n v="54"/>
  </r>
  <r>
    <x v="12"/>
    <x v="25"/>
    <x v="6"/>
    <n v="4"/>
    <n v="5"/>
    <n v="6"/>
    <n v="3"/>
    <n v="6"/>
    <n v="10"/>
    <n v="-20"/>
    <n v="49"/>
  </r>
  <r>
    <x v="25"/>
    <x v="25"/>
    <x v="4"/>
    <n v="6"/>
    <n v="6"/>
    <n v="3"/>
    <n v="5"/>
    <n v="5"/>
    <n v="9"/>
    <n v="-7"/>
    <n v="47"/>
  </r>
  <r>
    <x v="18"/>
    <x v="25"/>
    <x v="4"/>
    <n v="5"/>
    <n v="7"/>
    <n v="2"/>
    <n v="4"/>
    <n v="6"/>
    <n v="9"/>
    <n v="-12"/>
    <n v="44"/>
  </r>
  <r>
    <x v="22"/>
    <x v="25"/>
    <x v="5"/>
    <n v="4"/>
    <n v="7"/>
    <n v="4"/>
    <n v="4"/>
    <n v="4"/>
    <n v="11"/>
    <n v="-12"/>
    <n v="44"/>
  </r>
  <r>
    <x v="46"/>
    <x v="25"/>
    <x v="4"/>
    <n v="5"/>
    <n v="7"/>
    <n v="-4"/>
    <n v="4"/>
    <n v="6"/>
    <n v="9"/>
    <n v="-12"/>
    <n v="44"/>
  </r>
  <r>
    <x v="23"/>
    <x v="25"/>
    <x v="4"/>
    <n v="6"/>
    <n v="6"/>
    <n v="-2"/>
    <n v="3"/>
    <n v="6"/>
    <n v="10"/>
    <n v="-18"/>
    <n v="42"/>
  </r>
  <r>
    <x v="32"/>
    <x v="25"/>
    <x v="4"/>
    <n v="6"/>
    <n v="6"/>
    <n v="-4"/>
    <n v="4"/>
    <n v="2"/>
    <n v="13"/>
    <n v="-16"/>
    <n v="41"/>
  </r>
  <r>
    <x v="47"/>
    <x v="25"/>
    <x v="4"/>
    <n v="8"/>
    <n v="4"/>
    <n v="-1"/>
    <n v="2"/>
    <n v="5"/>
    <n v="12"/>
    <n v="-19"/>
    <n v="40"/>
  </r>
  <r>
    <x v="48"/>
    <x v="25"/>
    <x v="8"/>
    <n v="5"/>
    <n v="8"/>
    <n v="-9"/>
    <n v="3"/>
    <n v="5"/>
    <n v="11"/>
    <n v="-21"/>
    <n v="37"/>
  </r>
  <r>
    <x v="17"/>
    <x v="25"/>
    <x v="9"/>
    <n v="7"/>
    <n v="8"/>
    <n v="-6"/>
    <n v="3"/>
    <n v="8"/>
    <n v="8"/>
    <n v="-13"/>
    <n v="36"/>
  </r>
  <r>
    <x v="40"/>
    <x v="25"/>
    <x v="10"/>
    <n v="5"/>
    <n v="9"/>
    <n v="-10"/>
    <n v="2"/>
    <n v="7"/>
    <n v="10"/>
    <n v="-23"/>
    <n v="33"/>
  </r>
  <r>
    <x v="44"/>
    <x v="25"/>
    <x v="8"/>
    <n v="3"/>
    <n v="10"/>
    <n v="-7"/>
    <n v="2"/>
    <n v="6"/>
    <n v="11"/>
    <n v="-21"/>
    <n v="33"/>
  </r>
  <r>
    <x v="35"/>
    <x v="25"/>
    <x v="14"/>
    <n v="9"/>
    <n v="7"/>
    <n v="-8"/>
    <n v="3"/>
    <n v="4"/>
    <n v="12"/>
    <n v="-17"/>
    <n v="31"/>
  </r>
  <r>
    <x v="8"/>
    <x v="26"/>
    <x v="16"/>
    <n v="0"/>
    <n v="1"/>
    <n v="45"/>
    <n v="14"/>
    <n v="2"/>
    <n v="3"/>
    <n v="27"/>
    <n v="98"/>
  </r>
  <r>
    <x v="6"/>
    <x v="26"/>
    <x v="11"/>
    <n v="2"/>
    <n v="0"/>
    <n v="45"/>
    <n v="13"/>
    <n v="5"/>
    <n v="1"/>
    <n v="22"/>
    <n v="97"/>
  </r>
  <r>
    <x v="10"/>
    <x v="26"/>
    <x v="7"/>
    <n v="6"/>
    <n v="1"/>
    <n v="27"/>
    <n v="9"/>
    <n v="3"/>
    <n v="7"/>
    <n v="-3"/>
    <n v="72"/>
  </r>
  <r>
    <x v="5"/>
    <x v="26"/>
    <x v="7"/>
    <n v="2"/>
    <n v="5"/>
    <n v="18"/>
    <n v="11"/>
    <n v="0"/>
    <n v="8"/>
    <n v="10"/>
    <n v="71"/>
  </r>
  <r>
    <x v="9"/>
    <x v="26"/>
    <x v="0"/>
    <n v="3"/>
    <n v="2"/>
    <n v="26"/>
    <n v="7"/>
    <n v="4"/>
    <n v="8"/>
    <n v="-4"/>
    <n v="70"/>
  </r>
  <r>
    <x v="0"/>
    <x v="26"/>
    <x v="6"/>
    <n v="6"/>
    <n v="3"/>
    <n v="8"/>
    <n v="9"/>
    <n v="3"/>
    <n v="7"/>
    <n v="3"/>
    <n v="66"/>
  </r>
  <r>
    <x v="37"/>
    <x v="26"/>
    <x v="6"/>
    <n v="4"/>
    <n v="5"/>
    <n v="7"/>
    <n v="6"/>
    <n v="5"/>
    <n v="8"/>
    <n v="-6"/>
    <n v="57"/>
  </r>
  <r>
    <x v="12"/>
    <x v="26"/>
    <x v="6"/>
    <n v="4"/>
    <n v="5"/>
    <n v="9"/>
    <n v="5"/>
    <n v="5"/>
    <n v="9"/>
    <n v="-1"/>
    <n v="54"/>
  </r>
  <r>
    <x v="25"/>
    <x v="26"/>
    <x v="5"/>
    <n v="3"/>
    <n v="8"/>
    <n v="4"/>
    <n v="7"/>
    <n v="4"/>
    <n v="8"/>
    <n v="-1"/>
    <n v="52"/>
  </r>
  <r>
    <x v="23"/>
    <x v="26"/>
    <x v="3"/>
    <n v="4"/>
    <n v="6"/>
    <n v="5"/>
    <n v="6"/>
    <n v="3"/>
    <n v="10"/>
    <n v="-8"/>
    <n v="52"/>
  </r>
  <r>
    <x v="32"/>
    <x v="26"/>
    <x v="5"/>
    <n v="3"/>
    <n v="8"/>
    <n v="-2"/>
    <n v="6"/>
    <n v="5"/>
    <n v="8"/>
    <n v="-5"/>
    <n v="50"/>
  </r>
  <r>
    <x v="18"/>
    <x v="26"/>
    <x v="10"/>
    <n v="5"/>
    <n v="9"/>
    <n v="-4"/>
    <n v="9"/>
    <n v="2"/>
    <n v="8"/>
    <n v="2"/>
    <n v="49"/>
  </r>
  <r>
    <x v="46"/>
    <x v="26"/>
    <x v="5"/>
    <n v="5"/>
    <n v="6"/>
    <n v="5"/>
    <n v="5"/>
    <n v="1"/>
    <n v="13"/>
    <n v="-19"/>
    <n v="45"/>
  </r>
  <r>
    <x v="22"/>
    <x v="26"/>
    <x v="5"/>
    <n v="1"/>
    <n v="10"/>
    <n v="-1"/>
    <n v="4"/>
    <n v="8"/>
    <n v="7"/>
    <n v="-5"/>
    <n v="45"/>
  </r>
  <r>
    <x v="42"/>
    <x v="26"/>
    <x v="4"/>
    <n v="2"/>
    <n v="10"/>
    <n v="-8"/>
    <n v="4"/>
    <n v="5"/>
    <n v="10"/>
    <n v="-15"/>
    <n v="40"/>
  </r>
  <r>
    <x v="17"/>
    <x v="26"/>
    <x v="10"/>
    <n v="8"/>
    <n v="6"/>
    <n v="-3"/>
    <n v="4"/>
    <n v="4"/>
    <n v="11"/>
    <n v="-17"/>
    <n v="39"/>
  </r>
  <r>
    <x v="47"/>
    <x v="26"/>
    <x v="8"/>
    <n v="5"/>
    <n v="8"/>
    <n v="-9"/>
    <n v="3"/>
    <n v="4"/>
    <n v="12"/>
    <n v="-16"/>
    <n v="36"/>
  </r>
  <r>
    <x v="45"/>
    <x v="26"/>
    <x v="8"/>
    <n v="2"/>
    <n v="11"/>
    <n v="-17"/>
    <n v="4"/>
    <n v="2"/>
    <n v="13"/>
    <n v="-18"/>
    <n v="34"/>
  </r>
  <r>
    <x v="33"/>
    <x v="26"/>
    <x v="8"/>
    <n v="3"/>
    <n v="10"/>
    <n v="-14"/>
    <n v="1"/>
    <n v="2"/>
    <n v="16"/>
    <n v="-33"/>
    <n v="26"/>
  </r>
  <r>
    <x v="48"/>
    <x v="26"/>
    <x v="15"/>
    <n v="3"/>
    <n v="14"/>
    <n v="-21"/>
    <n v="1"/>
    <n v="4"/>
    <n v="14"/>
    <n v="-33"/>
    <n v="16"/>
  </r>
  <r>
    <x v="6"/>
    <x v="27"/>
    <x v="16"/>
    <n v="1"/>
    <n v="0"/>
    <n v="36"/>
    <n v="14"/>
    <n v="2"/>
    <n v="3"/>
    <n v="16"/>
    <n v="99"/>
  </r>
  <r>
    <x v="8"/>
    <x v="27"/>
    <x v="13"/>
    <n v="2"/>
    <n v="2"/>
    <n v="44"/>
    <n v="11"/>
    <n v="1"/>
    <n v="7"/>
    <n v="23"/>
    <n v="81"/>
  </r>
  <r>
    <x v="10"/>
    <x v="27"/>
    <x v="2"/>
    <n v="3"/>
    <n v="5"/>
    <n v="14"/>
    <n v="9"/>
    <n v="3"/>
    <n v="7"/>
    <n v="1"/>
    <n v="66"/>
  </r>
  <r>
    <x v="0"/>
    <x v="27"/>
    <x v="6"/>
    <n v="7"/>
    <n v="2"/>
    <n v="23"/>
    <n v="8"/>
    <n v="5"/>
    <n v="6"/>
    <n v="7"/>
    <n v="66"/>
  </r>
  <r>
    <x v="25"/>
    <x v="27"/>
    <x v="2"/>
    <n v="4"/>
    <n v="4"/>
    <n v="18"/>
    <n v="7"/>
    <n v="4"/>
    <n v="8"/>
    <n v="8"/>
    <n v="62"/>
  </r>
  <r>
    <x v="5"/>
    <x v="27"/>
    <x v="7"/>
    <n v="3"/>
    <n v="4"/>
    <n v="19"/>
    <n v="4"/>
    <n v="8"/>
    <n v="7"/>
    <n v="-5"/>
    <n v="59"/>
  </r>
  <r>
    <x v="37"/>
    <x v="27"/>
    <x v="5"/>
    <n v="7"/>
    <n v="4"/>
    <n v="8"/>
    <n v="7"/>
    <n v="7"/>
    <n v="5"/>
    <n v="3"/>
    <n v="59"/>
  </r>
  <r>
    <x v="9"/>
    <x v="27"/>
    <x v="6"/>
    <n v="6"/>
    <n v="3"/>
    <n v="12"/>
    <n v="4"/>
    <n v="8"/>
    <n v="7"/>
    <n v="-4"/>
    <n v="56"/>
  </r>
  <r>
    <x v="14"/>
    <x v="27"/>
    <x v="6"/>
    <n v="3"/>
    <n v="6"/>
    <n v="9"/>
    <n v="4"/>
    <n v="9"/>
    <n v="6"/>
    <n v="-9"/>
    <n v="54"/>
  </r>
  <r>
    <x v="42"/>
    <x v="27"/>
    <x v="5"/>
    <n v="4"/>
    <n v="7"/>
    <n v="1"/>
    <n v="7"/>
    <n v="5"/>
    <n v="7"/>
    <n v="-8"/>
    <n v="54"/>
  </r>
  <r>
    <x v="17"/>
    <x v="27"/>
    <x v="8"/>
    <n v="3"/>
    <n v="10"/>
    <n v="-14"/>
    <n v="9"/>
    <n v="4"/>
    <n v="6"/>
    <n v="5"/>
    <n v="52"/>
  </r>
  <r>
    <x v="12"/>
    <x v="27"/>
    <x v="5"/>
    <n v="7"/>
    <n v="4"/>
    <n v="3"/>
    <n v="5"/>
    <n v="3"/>
    <n v="11"/>
    <n v="-15"/>
    <n v="49"/>
  </r>
  <r>
    <x v="22"/>
    <x v="27"/>
    <x v="8"/>
    <n v="8"/>
    <n v="5"/>
    <n v="-1"/>
    <n v="5"/>
    <n v="3"/>
    <n v="11"/>
    <n v="-19"/>
    <n v="44"/>
  </r>
  <r>
    <x v="18"/>
    <x v="27"/>
    <x v="8"/>
    <n v="5"/>
    <n v="8"/>
    <n v="-5"/>
    <n v="5"/>
    <n v="5"/>
    <n v="9"/>
    <n v="-14"/>
    <n v="43"/>
  </r>
  <r>
    <x v="47"/>
    <x v="27"/>
    <x v="10"/>
    <n v="7"/>
    <n v="7"/>
    <n v="-7"/>
    <n v="4"/>
    <n v="7"/>
    <n v="8"/>
    <n v="-8"/>
    <n v="41"/>
  </r>
  <r>
    <x v="23"/>
    <x v="27"/>
    <x v="8"/>
    <n v="4"/>
    <n v="9"/>
    <n v="-3"/>
    <n v="4"/>
    <n v="5"/>
    <n v="10"/>
    <n v="-10"/>
    <n v="39"/>
  </r>
  <r>
    <x v="1"/>
    <x v="27"/>
    <x v="4"/>
    <n v="3"/>
    <n v="9"/>
    <n v="-8"/>
    <n v="2"/>
    <n v="5"/>
    <n v="12"/>
    <n v="-18"/>
    <n v="35"/>
  </r>
  <r>
    <x v="32"/>
    <x v="27"/>
    <x v="8"/>
    <n v="6"/>
    <n v="7"/>
    <n v="-5"/>
    <n v="2"/>
    <n v="4"/>
    <n v="13"/>
    <n v="-23"/>
    <n v="34"/>
  </r>
  <r>
    <x v="46"/>
    <x v="27"/>
    <x v="10"/>
    <n v="6"/>
    <n v="8"/>
    <n v="-8"/>
    <n v="4"/>
    <n v="1"/>
    <n v="14"/>
    <n v="-17"/>
    <n v="34"/>
  </r>
  <r>
    <x v="2"/>
    <x v="27"/>
    <x v="9"/>
    <n v="3"/>
    <n v="12"/>
    <n v="-18"/>
    <n v="1"/>
    <n v="3"/>
    <n v="15"/>
    <n v="-31"/>
    <n v="21"/>
  </r>
  <r>
    <x v="8"/>
    <x v="28"/>
    <x v="1"/>
    <n v="2"/>
    <n v="4"/>
    <n v="26"/>
    <n v="14"/>
    <n v="3"/>
    <n v="2"/>
    <n v="25"/>
    <n v="86"/>
  </r>
  <r>
    <x v="0"/>
    <x v="28"/>
    <x v="3"/>
    <n v="4"/>
    <n v="6"/>
    <n v="10"/>
    <n v="12"/>
    <n v="7"/>
    <n v="0"/>
    <n v="19"/>
    <n v="74"/>
  </r>
  <r>
    <x v="6"/>
    <x v="28"/>
    <x v="6"/>
    <n v="3"/>
    <n v="6"/>
    <n v="9"/>
    <n v="10"/>
    <n v="6"/>
    <n v="3"/>
    <n v="17"/>
    <n v="69"/>
  </r>
  <r>
    <x v="10"/>
    <x v="28"/>
    <x v="3"/>
    <n v="6"/>
    <n v="4"/>
    <n v="13"/>
    <n v="10"/>
    <n v="4"/>
    <n v="5"/>
    <n v="9"/>
    <n v="67"/>
  </r>
  <r>
    <x v="25"/>
    <x v="28"/>
    <x v="3"/>
    <n v="1"/>
    <n v="9"/>
    <n v="4"/>
    <n v="11"/>
    <n v="5"/>
    <n v="3"/>
    <n v="14"/>
    <n v="66"/>
  </r>
  <r>
    <x v="23"/>
    <x v="28"/>
    <x v="6"/>
    <n v="4"/>
    <n v="5"/>
    <n v="10"/>
    <n v="9"/>
    <n v="4"/>
    <n v="6"/>
    <n v="5"/>
    <n v="65"/>
  </r>
  <r>
    <x v="5"/>
    <x v="28"/>
    <x v="6"/>
    <n v="3"/>
    <n v="6"/>
    <n v="15"/>
    <n v="8"/>
    <n v="5"/>
    <n v="6"/>
    <n v="8"/>
    <n v="62"/>
  </r>
  <r>
    <x v="9"/>
    <x v="28"/>
    <x v="5"/>
    <n v="4"/>
    <n v="7"/>
    <n v="3"/>
    <n v="10"/>
    <n v="3"/>
    <n v="6"/>
    <n v="13"/>
    <n v="61"/>
  </r>
  <r>
    <x v="16"/>
    <x v="28"/>
    <x v="5"/>
    <n v="5"/>
    <n v="6"/>
    <n v="7"/>
    <n v="10"/>
    <n v="0"/>
    <n v="9"/>
    <n v="1"/>
    <n v="59"/>
  </r>
  <r>
    <x v="12"/>
    <x v="28"/>
    <x v="8"/>
    <n v="4"/>
    <n v="9"/>
    <n v="-4"/>
    <n v="11"/>
    <n v="4"/>
    <n v="4"/>
    <n v="3"/>
    <n v="59"/>
  </r>
  <r>
    <x v="1"/>
    <x v="28"/>
    <x v="4"/>
    <n v="4"/>
    <n v="8"/>
    <n v="2"/>
    <n v="9"/>
    <n v="3"/>
    <n v="7"/>
    <n v="7"/>
    <n v="55"/>
  </r>
  <r>
    <x v="37"/>
    <x v="28"/>
    <x v="4"/>
    <n v="4"/>
    <n v="8"/>
    <n v="-4"/>
    <n v="5"/>
    <n v="5"/>
    <n v="9"/>
    <n v="-12"/>
    <n v="45"/>
  </r>
  <r>
    <x v="22"/>
    <x v="28"/>
    <x v="8"/>
    <n v="5"/>
    <n v="8"/>
    <n v="-7"/>
    <n v="6"/>
    <n v="4"/>
    <n v="9"/>
    <n v="-9"/>
    <n v="45"/>
  </r>
  <r>
    <x v="18"/>
    <x v="28"/>
    <x v="8"/>
    <n v="5"/>
    <n v="8"/>
    <n v="-12"/>
    <n v="6"/>
    <n v="3"/>
    <n v="10"/>
    <n v="-13"/>
    <n v="44"/>
  </r>
  <r>
    <x v="17"/>
    <x v="28"/>
    <x v="5"/>
    <n v="3"/>
    <n v="8"/>
    <n v="3"/>
    <n v="4"/>
    <n v="4"/>
    <n v="11"/>
    <n v="-24"/>
    <n v="43"/>
  </r>
  <r>
    <x v="47"/>
    <x v="28"/>
    <x v="9"/>
    <n v="9"/>
    <n v="6"/>
    <n v="0"/>
    <n v="5"/>
    <n v="5"/>
    <n v="9"/>
    <n v="-6"/>
    <n v="41"/>
  </r>
  <r>
    <x v="42"/>
    <x v="28"/>
    <x v="9"/>
    <n v="6"/>
    <n v="9"/>
    <n v="-13"/>
    <n v="6"/>
    <n v="3"/>
    <n v="10"/>
    <n v="-9"/>
    <n v="39"/>
  </r>
  <r>
    <x v="33"/>
    <x v="28"/>
    <x v="15"/>
    <n v="4"/>
    <n v="13"/>
    <n v="-19"/>
    <n v="3"/>
    <n v="9"/>
    <n v="7"/>
    <n v="-7"/>
    <n v="28"/>
  </r>
  <r>
    <x v="35"/>
    <x v="28"/>
    <x v="14"/>
    <n v="6"/>
    <n v="10"/>
    <n v="-24"/>
    <n v="2"/>
    <n v="5"/>
    <n v="12"/>
    <n v="-17"/>
    <n v="26"/>
  </r>
  <r>
    <x v="14"/>
    <x v="28"/>
    <x v="10"/>
    <n v="1"/>
    <n v="13"/>
    <n v="-15"/>
    <n v="2"/>
    <n v="1"/>
    <n v="16"/>
    <n v="-28"/>
    <n v="23"/>
  </r>
  <r>
    <x v="8"/>
    <x v="29"/>
    <x v="13"/>
    <n v="2"/>
    <n v="2"/>
    <n v="43"/>
    <n v="14"/>
    <n v="4"/>
    <n v="1"/>
    <n v="30"/>
    <n v="93"/>
  </r>
  <r>
    <x v="6"/>
    <x v="29"/>
    <x v="13"/>
    <n v="4"/>
    <n v="0"/>
    <n v="40"/>
    <n v="13"/>
    <n v="4"/>
    <n v="2"/>
    <n v="28"/>
    <n v="92"/>
  </r>
  <r>
    <x v="10"/>
    <x v="29"/>
    <x v="3"/>
    <n v="7"/>
    <n v="3"/>
    <n v="15"/>
    <n v="12"/>
    <n v="4"/>
    <n v="3"/>
    <n v="28"/>
    <n v="74"/>
  </r>
  <r>
    <x v="5"/>
    <x v="29"/>
    <x v="1"/>
    <n v="1"/>
    <n v="5"/>
    <n v="19"/>
    <n v="9"/>
    <n v="4"/>
    <n v="6"/>
    <n v="10"/>
    <n v="71"/>
  </r>
  <r>
    <x v="9"/>
    <x v="29"/>
    <x v="1"/>
    <n v="2"/>
    <n v="4"/>
    <n v="18"/>
    <n v="9"/>
    <n v="1"/>
    <n v="9"/>
    <n v="-5"/>
    <n v="69"/>
  </r>
  <r>
    <x v="0"/>
    <x v="29"/>
    <x v="6"/>
    <n v="5"/>
    <n v="4"/>
    <n v="10"/>
    <n v="6"/>
    <n v="5"/>
    <n v="8"/>
    <n v="-10"/>
    <n v="58"/>
  </r>
  <r>
    <x v="23"/>
    <x v="29"/>
    <x v="3"/>
    <n v="5"/>
    <n v="5"/>
    <n v="7"/>
    <n v="7"/>
    <n v="3"/>
    <n v="9"/>
    <n v="2"/>
    <n v="56"/>
  </r>
  <r>
    <x v="25"/>
    <x v="29"/>
    <x v="6"/>
    <n v="4"/>
    <n v="5"/>
    <n v="11"/>
    <n v="4"/>
    <n v="6"/>
    <n v="9"/>
    <n v="-8"/>
    <n v="52"/>
  </r>
  <r>
    <x v="47"/>
    <x v="29"/>
    <x v="10"/>
    <n v="7"/>
    <n v="7"/>
    <n v="-4"/>
    <n v="7"/>
    <n v="8"/>
    <n v="4"/>
    <n v="2"/>
    <n v="51"/>
  </r>
  <r>
    <x v="37"/>
    <x v="29"/>
    <x v="4"/>
    <n v="3"/>
    <n v="9"/>
    <n v="-5"/>
    <n v="8"/>
    <n v="3"/>
    <n v="8"/>
    <n v="0"/>
    <n v="51"/>
  </r>
  <r>
    <x v="22"/>
    <x v="29"/>
    <x v="5"/>
    <n v="6"/>
    <n v="5"/>
    <n v="-1"/>
    <n v="5"/>
    <n v="4"/>
    <n v="10"/>
    <n v="-17"/>
    <n v="49"/>
  </r>
  <r>
    <x v="18"/>
    <x v="29"/>
    <x v="4"/>
    <n v="8"/>
    <n v="4"/>
    <n v="10"/>
    <n v="4"/>
    <n v="7"/>
    <n v="8"/>
    <n v="-6"/>
    <n v="48"/>
  </r>
  <r>
    <x v="49"/>
    <x v="29"/>
    <x v="4"/>
    <n v="3"/>
    <n v="9"/>
    <n v="1"/>
    <n v="6"/>
    <n v="4"/>
    <n v="9"/>
    <n v="-9"/>
    <n v="46"/>
  </r>
  <r>
    <x v="1"/>
    <x v="29"/>
    <x v="8"/>
    <n v="5"/>
    <n v="8"/>
    <n v="0"/>
    <n v="7"/>
    <n v="1"/>
    <n v="11"/>
    <n v="-2"/>
    <n v="45"/>
  </r>
  <r>
    <x v="17"/>
    <x v="29"/>
    <x v="8"/>
    <n v="7"/>
    <n v="6"/>
    <n v="-1"/>
    <n v="3"/>
    <n v="6"/>
    <n v="10"/>
    <n v="-23"/>
    <n v="40"/>
  </r>
  <r>
    <x v="12"/>
    <x v="29"/>
    <x v="3"/>
    <n v="2"/>
    <n v="8"/>
    <n v="2"/>
    <n v="2"/>
    <n v="4"/>
    <n v="13"/>
    <n v="-25"/>
    <n v="39"/>
  </r>
  <r>
    <x v="16"/>
    <x v="29"/>
    <x v="9"/>
    <n v="6"/>
    <n v="9"/>
    <n v="-19"/>
    <n v="5"/>
    <n v="5"/>
    <n v="9"/>
    <n v="-18"/>
    <n v="38"/>
  </r>
  <r>
    <x v="42"/>
    <x v="29"/>
    <x v="10"/>
    <n v="6"/>
    <n v="8"/>
    <n v="-7"/>
    <n v="2"/>
    <n v="8"/>
    <n v="9"/>
    <n v="-12"/>
    <n v="35"/>
  </r>
  <r>
    <x v="32"/>
    <x v="29"/>
    <x v="15"/>
    <n v="2"/>
    <n v="15"/>
    <n v="-29"/>
    <n v="4"/>
    <n v="3"/>
    <n v="12"/>
    <n v="-14"/>
    <n v="23"/>
  </r>
  <r>
    <x v="2"/>
    <x v="29"/>
    <x v="14"/>
    <n v="3"/>
    <n v="13"/>
    <n v="-31"/>
    <n v="2"/>
    <n v="4"/>
    <n v="13"/>
    <n v="-30"/>
    <n v="22"/>
  </r>
  <r>
    <x v="8"/>
    <x v="30"/>
    <x v="11"/>
    <n v="1"/>
    <n v="1"/>
    <n v="43"/>
    <n v="11"/>
    <n v="4"/>
    <n v="4"/>
    <n v="18"/>
    <n v="89"/>
  </r>
  <r>
    <x v="9"/>
    <x v="30"/>
    <x v="0"/>
    <n v="3"/>
    <n v="2"/>
    <n v="28"/>
    <n v="12"/>
    <n v="3"/>
    <n v="4"/>
    <n v="17"/>
    <n v="84"/>
  </r>
  <r>
    <x v="0"/>
    <x v="30"/>
    <x v="13"/>
    <n v="3"/>
    <n v="1"/>
    <n v="26"/>
    <n v="8"/>
    <n v="3"/>
    <n v="8"/>
    <n v="-11"/>
    <n v="75"/>
  </r>
  <r>
    <x v="22"/>
    <x v="30"/>
    <x v="2"/>
    <n v="6"/>
    <n v="2"/>
    <n v="22"/>
    <n v="8"/>
    <n v="8"/>
    <n v="3"/>
    <n v="13"/>
    <n v="71"/>
  </r>
  <r>
    <x v="6"/>
    <x v="30"/>
    <x v="1"/>
    <n v="5"/>
    <n v="1"/>
    <n v="29"/>
    <n v="6"/>
    <n v="5"/>
    <n v="8"/>
    <n v="-1"/>
    <n v="67"/>
  </r>
  <r>
    <x v="47"/>
    <x v="30"/>
    <x v="6"/>
    <n v="4"/>
    <n v="5"/>
    <n v="16"/>
    <n v="8"/>
    <n v="4"/>
    <n v="7"/>
    <n v="3"/>
    <n v="62"/>
  </r>
  <r>
    <x v="1"/>
    <x v="30"/>
    <x v="7"/>
    <n v="2"/>
    <n v="5"/>
    <n v="12"/>
    <n v="6"/>
    <n v="5"/>
    <n v="8"/>
    <n v="-7"/>
    <n v="61"/>
  </r>
  <r>
    <x v="5"/>
    <x v="30"/>
    <x v="7"/>
    <n v="1"/>
    <n v="6"/>
    <n v="12"/>
    <n v="6"/>
    <n v="5"/>
    <n v="8"/>
    <n v="-5"/>
    <n v="60"/>
  </r>
  <r>
    <x v="49"/>
    <x v="30"/>
    <x v="6"/>
    <n v="7"/>
    <n v="2"/>
    <n v="17"/>
    <n v="5"/>
    <n v="7"/>
    <n v="7"/>
    <n v="-5"/>
    <n v="59"/>
  </r>
  <r>
    <x v="33"/>
    <x v="30"/>
    <x v="5"/>
    <n v="5"/>
    <n v="6"/>
    <n v="2"/>
    <n v="7"/>
    <n v="2"/>
    <n v="10"/>
    <n v="0"/>
    <n v="52"/>
  </r>
  <r>
    <x v="18"/>
    <x v="30"/>
    <x v="4"/>
    <n v="7"/>
    <n v="5"/>
    <n v="-2"/>
    <n v="4"/>
    <n v="5"/>
    <n v="10"/>
    <n v="-7"/>
    <n v="45"/>
  </r>
  <r>
    <x v="10"/>
    <x v="30"/>
    <x v="8"/>
    <n v="7"/>
    <n v="6"/>
    <n v="1"/>
    <n v="5"/>
    <n v="4"/>
    <n v="10"/>
    <n v="-10"/>
    <n v="44"/>
  </r>
  <r>
    <x v="37"/>
    <x v="30"/>
    <x v="3"/>
    <n v="3"/>
    <n v="7"/>
    <n v="-1"/>
    <n v="2"/>
    <n v="5"/>
    <n v="12"/>
    <n v="-26"/>
    <n v="41"/>
  </r>
  <r>
    <x v="23"/>
    <x v="30"/>
    <x v="5"/>
    <n v="4"/>
    <n v="7"/>
    <n v="2"/>
    <n v="3"/>
    <n v="3"/>
    <n v="13"/>
    <n v="-15"/>
    <n v="40"/>
  </r>
  <r>
    <x v="46"/>
    <x v="30"/>
    <x v="8"/>
    <n v="4"/>
    <n v="9"/>
    <n v="-8"/>
    <n v="5"/>
    <n v="2"/>
    <n v="12"/>
    <n v="-26"/>
    <n v="39"/>
  </r>
  <r>
    <x v="21"/>
    <x v="30"/>
    <x v="5"/>
    <n v="6"/>
    <n v="5"/>
    <n v="3"/>
    <n v="1"/>
    <n v="5"/>
    <n v="13"/>
    <n v="-33"/>
    <n v="38"/>
  </r>
  <r>
    <x v="12"/>
    <x v="30"/>
    <x v="8"/>
    <n v="3"/>
    <n v="10"/>
    <n v="-11"/>
    <n v="2"/>
    <n v="9"/>
    <n v="8"/>
    <n v="-12"/>
    <n v="36"/>
  </r>
  <r>
    <x v="25"/>
    <x v="30"/>
    <x v="10"/>
    <n v="4"/>
    <n v="10"/>
    <n v="-4"/>
    <n v="4"/>
    <n v="3"/>
    <n v="12"/>
    <n v="-13"/>
    <n v="34"/>
  </r>
  <r>
    <x v="16"/>
    <x v="30"/>
    <x v="10"/>
    <n v="7"/>
    <n v="7"/>
    <n v="-11"/>
    <n v="2"/>
    <n v="3"/>
    <n v="14"/>
    <n v="-19"/>
    <n v="31"/>
  </r>
  <r>
    <x v="17"/>
    <x v="30"/>
    <x v="15"/>
    <n v="5"/>
    <n v="12"/>
    <n v="-18"/>
    <n v="4"/>
    <n v="2"/>
    <n v="13"/>
    <n v="-19"/>
    <n v="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n v="264"/>
    <n v="345"/>
    <x v="0"/>
    <n v="17"/>
  </r>
  <r>
    <x v="1"/>
    <x v="1"/>
    <x v="1"/>
    <n v="427"/>
    <n v="555"/>
    <x v="1"/>
    <n v="21"/>
  </r>
  <r>
    <x v="2"/>
    <x v="2"/>
    <x v="2"/>
    <n v="529"/>
    <n v="646"/>
    <x v="2"/>
    <n v="37"/>
  </r>
  <r>
    <x v="3"/>
    <x v="3"/>
    <x v="3"/>
    <n v="295"/>
    <n v="401"/>
    <x v="3"/>
    <n v="27"/>
  </r>
  <r>
    <x v="4"/>
    <x v="4"/>
    <x v="4"/>
    <n v="468"/>
    <n v="521"/>
    <x v="0"/>
    <n v="23"/>
  </r>
  <r>
    <x v="5"/>
    <x v="5"/>
    <x v="5"/>
    <n v="194"/>
    <n v="264"/>
    <x v="1"/>
    <n v="19"/>
  </r>
  <r>
    <x v="6"/>
    <x v="6"/>
    <x v="6"/>
    <n v="942"/>
    <n v="989"/>
    <x v="4"/>
    <n v="70"/>
  </r>
  <r>
    <x v="7"/>
    <x v="7"/>
    <x v="7"/>
    <n v="158"/>
    <n v="174"/>
    <x v="5"/>
    <n v="3"/>
  </r>
  <r>
    <x v="8"/>
    <x v="8"/>
    <x v="8"/>
    <n v="398"/>
    <n v="484"/>
    <x v="6"/>
    <n v="26"/>
  </r>
  <r>
    <x v="9"/>
    <x v="9"/>
    <x v="9"/>
    <n v="300"/>
    <n v="419"/>
    <x v="7"/>
    <n v="30"/>
  </r>
  <r>
    <x v="10"/>
    <x v="10"/>
    <x v="10"/>
    <n v="436"/>
    <n v="629"/>
    <x v="8"/>
    <n v="42"/>
  </r>
  <r>
    <x v="11"/>
    <x v="11"/>
    <x v="11"/>
    <n v="186"/>
    <n v="284"/>
    <x v="7"/>
    <n v="15"/>
  </r>
  <r>
    <x v="12"/>
    <x v="12"/>
    <x v="12"/>
    <n v="408"/>
    <n v="468"/>
    <x v="9"/>
    <n v="22"/>
  </r>
  <r>
    <x v="13"/>
    <x v="13"/>
    <x v="13"/>
    <n v="260"/>
    <n v="283"/>
    <x v="10"/>
    <n v="18"/>
  </r>
  <r>
    <x v="14"/>
    <x v="14"/>
    <x v="14"/>
    <n v="435"/>
    <n v="469"/>
    <x v="6"/>
    <n v="17"/>
  </r>
  <r>
    <x v="15"/>
    <x v="15"/>
    <x v="15"/>
    <n v="515"/>
    <n v="538"/>
    <x v="11"/>
    <n v="19"/>
  </r>
  <r>
    <x v="16"/>
    <x v="16"/>
    <x v="16"/>
    <n v="435"/>
    <n v="518"/>
    <x v="12"/>
    <n v="17"/>
  </r>
  <r>
    <x v="17"/>
    <x v="17"/>
    <x v="17"/>
    <n v="327"/>
    <n v="376"/>
    <x v="13"/>
    <n v="18"/>
  </r>
  <r>
    <x v="18"/>
    <x v="18"/>
    <x v="18"/>
    <n v="280"/>
    <n v="360"/>
    <x v="14"/>
    <n v="20"/>
  </r>
  <r>
    <x v="19"/>
    <x v="19"/>
    <x v="19"/>
    <n v="203"/>
    <n v="278"/>
    <x v="15"/>
    <n v="11"/>
  </r>
  <r>
    <x v="20"/>
    <x v="20"/>
    <x v="20"/>
    <n v="287"/>
    <n v="351"/>
    <x v="16"/>
    <n v="20"/>
  </r>
  <r>
    <x v="21"/>
    <x v="21"/>
    <x v="21"/>
    <n v="659"/>
    <n v="815"/>
    <x v="17"/>
    <n v="38"/>
  </r>
  <r>
    <x v="22"/>
    <x v="22"/>
    <x v="22"/>
    <n v="181"/>
    <n v="253"/>
    <x v="14"/>
    <n v="8"/>
  </r>
  <r>
    <x v="23"/>
    <x v="23"/>
    <x v="23"/>
    <n v="220"/>
    <n v="220"/>
    <x v="14"/>
    <n v="4"/>
  </r>
  <r>
    <x v="24"/>
    <x v="24"/>
    <x v="24"/>
    <n v="249"/>
    <n v="321"/>
    <x v="18"/>
    <n v="30"/>
  </r>
  <r>
    <x v="25"/>
    <x v="25"/>
    <x v="25"/>
    <n v="196"/>
    <n v="212"/>
    <x v="5"/>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
  <r>
    <x v="0"/>
    <n v="5"/>
    <x v="0"/>
    <n v="0"/>
    <n v="51"/>
    <n v="49"/>
    <n v="14"/>
    <n v="6"/>
    <n v="8"/>
    <n v="0"/>
    <n v="4"/>
    <n v="4"/>
    <n v="2"/>
    <n v="2"/>
    <n v="89"/>
    <n v="88"/>
    <n v="3"/>
    <n v="0"/>
    <n v="82.4"/>
    <n v="44.4"/>
    <n v="47.8"/>
    <n v="52.2"/>
    <n v="57095"/>
    <n v="57704"/>
    <n v="0.98944613891584643"/>
  </r>
  <r>
    <x v="1"/>
    <n v="2"/>
    <x v="1"/>
    <n v="1"/>
    <n v="40.299999999999997"/>
    <n v="59.7"/>
    <n v="12"/>
    <n v="8"/>
    <n v="5"/>
    <n v="4"/>
    <n v="5"/>
    <n v="3"/>
    <n v="2"/>
    <n v="1"/>
    <n v="75.3"/>
    <n v="83.6"/>
    <n v="4"/>
    <n v="3"/>
    <n v="42.9"/>
    <n v="15.4"/>
    <n v="52.2"/>
    <n v="47.8"/>
    <n v="39212"/>
    <n v="39000"/>
    <n v="1.0054358974358975"/>
  </r>
  <r>
    <x v="2"/>
    <n v="1"/>
    <x v="2"/>
    <n v="0"/>
    <n v="34.4"/>
    <n v="65.599999999999994"/>
    <n v="11"/>
    <n v="17"/>
    <n v="4"/>
    <n v="3"/>
    <n v="4"/>
    <n v="6"/>
    <n v="3"/>
    <n v="8"/>
    <n v="79.3"/>
    <n v="89.8"/>
    <n v="2"/>
    <n v="1"/>
    <n v="64.7"/>
    <n v="35.700000000000003"/>
    <n v="50"/>
    <n v="50"/>
    <n v="14120"/>
    <n v="15250"/>
    <n v="0.92590163934426228"/>
  </r>
  <r>
    <x v="3"/>
    <n v="1"/>
    <x v="3"/>
    <n v="1"/>
    <n v="64.400000000000006"/>
    <n v="35.6"/>
    <n v="22"/>
    <n v="13"/>
    <n v="5"/>
    <n v="4"/>
    <n v="9"/>
    <n v="5"/>
    <n v="8"/>
    <n v="4"/>
    <n v="88.9"/>
    <n v="83.3"/>
    <n v="2"/>
    <n v="2"/>
    <n v="42.9"/>
    <n v="42.9"/>
    <n v="54.5"/>
    <n v="45.5"/>
    <n v="37130"/>
    <n v="37343"/>
    <n v="0.99429611975470633"/>
  </r>
  <r>
    <x v="4"/>
    <n v="1"/>
    <x v="4"/>
    <n v="1"/>
    <n v="66"/>
    <n v="34"/>
    <n v="15"/>
    <n v="7"/>
    <n v="3"/>
    <n v="4"/>
    <n v="8"/>
    <n v="2"/>
    <n v="4"/>
    <n v="1"/>
    <n v="85.7"/>
    <n v="69.900000000000006"/>
    <n v="1"/>
    <n v="0"/>
    <n v="40"/>
    <n v="52.6"/>
    <n v="58.3"/>
    <n v="41.7"/>
    <n v="22198"/>
    <n v="23486"/>
    <n v="0.94515881801924551"/>
  </r>
  <r>
    <x v="5"/>
    <n v="1"/>
    <x v="5"/>
    <n v="0"/>
    <n v="37.799999999999997"/>
    <n v="62.2"/>
    <n v="13"/>
    <n v="7"/>
    <n v="6"/>
    <n v="2"/>
    <n v="5"/>
    <n v="3"/>
    <n v="2"/>
    <n v="2"/>
    <n v="73.099999999999994"/>
    <n v="83.9"/>
    <n v="0"/>
    <n v="0"/>
    <n v="50"/>
    <n v="58.3"/>
    <n v="53.8"/>
    <n v="46.2"/>
    <n v="36201"/>
    <n v="36572"/>
    <n v="0.9898556272558241"/>
  </r>
  <r>
    <x v="6"/>
    <n v="1"/>
    <x v="6"/>
    <n v="4"/>
    <n v="52.1"/>
    <n v="47.9"/>
    <n v="19"/>
    <n v="11"/>
    <n v="2"/>
    <n v="7"/>
    <n v="7"/>
    <n v="3"/>
    <n v="10"/>
    <n v="1"/>
    <n v="77.3"/>
    <n v="78"/>
    <n v="1"/>
    <n v="3"/>
    <n v="54.5"/>
    <n v="46.2"/>
    <n v="54.5"/>
    <n v="45.5"/>
    <n v="33871"/>
    <n v="35220"/>
    <n v="0.96169789892106761"/>
  </r>
  <r>
    <x v="7"/>
    <n v="2"/>
    <x v="7"/>
    <n v="1"/>
    <n v="48.2"/>
    <n v="51.8"/>
    <n v="13"/>
    <n v="16"/>
    <n v="4"/>
    <n v="3"/>
    <n v="6"/>
    <n v="9"/>
    <n v="3"/>
    <n v="4"/>
    <n v="87.8"/>
    <n v="88.7"/>
    <n v="2"/>
    <n v="1"/>
    <n v="63.6"/>
    <n v="58.8"/>
    <n v="68.8"/>
    <n v="31.3"/>
    <n v="29183"/>
    <n v="29261"/>
    <n v="0.99733433580533815"/>
  </r>
  <r>
    <x v="8"/>
    <n v="2"/>
    <x v="8"/>
    <n v="1"/>
    <n v="53.2"/>
    <n v="46.8"/>
    <n v="21"/>
    <n v="10"/>
    <n v="8"/>
    <n v="3"/>
    <n v="7"/>
    <n v="6"/>
    <n v="6"/>
    <n v="1"/>
    <n v="84.2"/>
    <n v="84"/>
    <n v="4"/>
    <n v="2"/>
    <n v="78.900000000000006"/>
    <n v="66.7"/>
    <n v="46.4"/>
    <n v="53.6"/>
    <n v="70465"/>
    <n v="71310"/>
    <n v="0.98815032954704807"/>
  </r>
  <r>
    <x v="9"/>
    <n v="4"/>
    <x v="9"/>
    <n v="4"/>
    <n v="30.9"/>
    <n v="69.099999999999994"/>
    <n v="15"/>
    <n v="30"/>
    <n v="10"/>
    <n v="8"/>
    <n v="5"/>
    <n v="11"/>
    <n v="0"/>
    <n v="11"/>
    <n v="74.5"/>
    <n v="86.9"/>
    <n v="1"/>
    <n v="5"/>
    <n v="71.400000000000006"/>
    <n v="75"/>
    <n v="54.5"/>
    <n v="45.5"/>
    <n v="28129"/>
    <n v="29384"/>
    <n v="0.9572896814592976"/>
  </r>
  <r>
    <x v="8"/>
    <n v="4"/>
    <x v="10"/>
    <n v="1"/>
    <n v="41.1"/>
    <n v="58.9"/>
    <n v="18"/>
    <n v="14"/>
    <n v="9"/>
    <n v="5"/>
    <n v="4"/>
    <n v="5"/>
    <n v="5"/>
    <n v="4"/>
    <n v="84"/>
    <n v="90.4"/>
    <n v="4"/>
    <n v="3"/>
    <n v="52.6"/>
    <n v="61.9"/>
    <n v="33.299999999999997"/>
    <n v="66.7"/>
    <n v="70561"/>
    <n v="71310"/>
    <n v="0.98949656429673261"/>
  </r>
  <r>
    <x v="10"/>
    <n v="1"/>
    <x v="2"/>
    <n v="1"/>
    <n v="39.6"/>
    <n v="60.4"/>
    <n v="20"/>
    <n v="13"/>
    <n v="7"/>
    <n v="4"/>
    <n v="6"/>
    <n v="6"/>
    <n v="7"/>
    <n v="3"/>
    <n v="84.2"/>
    <n v="89"/>
    <n v="2"/>
    <n v="3"/>
    <n v="50"/>
    <n v="33.299999999999997"/>
    <n v="42.9"/>
    <n v="57.1"/>
    <n v="28388"/>
    <n v="28876"/>
    <n v="0.98310015237567527"/>
  </r>
  <r>
    <x v="11"/>
    <n v="0"/>
    <x v="11"/>
    <n v="0"/>
    <n v="77.599999999999994"/>
    <n v="22.4"/>
    <n v="23"/>
    <n v="1"/>
    <n v="4"/>
    <n v="1"/>
    <n v="13"/>
    <n v="0"/>
    <n v="6"/>
    <n v="0"/>
    <n v="89.5"/>
    <n v="58.9"/>
    <n v="1"/>
    <n v="0"/>
    <n v="33.299999999999997"/>
    <n v="47.1"/>
    <n v="59.4"/>
    <n v="40.6"/>
    <n v="49152"/>
    <n v="49350"/>
    <n v="0.99598784194528878"/>
  </r>
  <r>
    <x v="12"/>
    <n v="3"/>
    <x v="12"/>
    <n v="1"/>
    <n v="58.8"/>
    <n v="41.2"/>
    <n v="19"/>
    <n v="12"/>
    <n v="9"/>
    <n v="3"/>
    <n v="4"/>
    <n v="6"/>
    <n v="6"/>
    <n v="3"/>
    <n v="80.900000000000006"/>
    <n v="72.900000000000006"/>
    <n v="4"/>
    <n v="0"/>
    <n v="72.7"/>
    <n v="60.9"/>
    <n v="73.900000000000006"/>
    <n v="26.1"/>
    <n v="59478"/>
    <n v="65013"/>
    <n v="0.91486318120991184"/>
  </r>
  <r>
    <x v="10"/>
    <n v="3"/>
    <x v="13"/>
    <n v="1"/>
    <n v="63"/>
    <n v="37"/>
    <n v="26"/>
    <n v="5"/>
    <n v="8"/>
    <n v="1"/>
    <n v="11"/>
    <n v="3"/>
    <n v="7"/>
    <n v="1"/>
    <n v="91.7"/>
    <n v="79.599999999999994"/>
    <n v="1"/>
    <n v="1"/>
    <n v="69.2"/>
    <n v="62.5"/>
    <n v="73.3"/>
    <n v="26.7"/>
    <n v="28507"/>
    <n v="28876"/>
    <n v="0.98722122177586924"/>
  </r>
  <r>
    <x v="13"/>
    <n v="1"/>
    <x v="10"/>
    <n v="0"/>
    <n v="64.599999999999994"/>
    <n v="35.4"/>
    <n v="15"/>
    <n v="13"/>
    <n v="2"/>
    <n v="6"/>
    <n v="7"/>
    <n v="4"/>
    <n v="6"/>
    <n v="3"/>
    <n v="91.5"/>
    <n v="86.8"/>
    <n v="2"/>
    <n v="2"/>
    <n v="75"/>
    <n v="70.599999999999994"/>
    <n v="44.4"/>
    <n v="55.6"/>
    <n v="50490"/>
    <n v="50400"/>
    <n v="1.0017857142857143"/>
  </r>
  <r>
    <x v="14"/>
    <n v="1"/>
    <x v="14"/>
    <n v="3"/>
    <n v="61.8"/>
    <n v="38.200000000000003"/>
    <n v="22"/>
    <n v="11"/>
    <n v="8"/>
    <n v="4"/>
    <n v="6"/>
    <n v="6"/>
    <n v="8"/>
    <n v="1"/>
    <n v="86.2"/>
    <n v="77.7"/>
    <n v="2"/>
    <n v="2"/>
    <n v="50"/>
    <n v="54.5"/>
    <n v="59.1"/>
    <n v="40.9"/>
    <n v="58514"/>
    <n v="59850"/>
    <n v="0.97767752715121137"/>
  </r>
  <r>
    <x v="15"/>
    <n v="0"/>
    <x v="15"/>
    <n v="1"/>
    <n v="41.5"/>
    <n v="58.5"/>
    <n v="10"/>
    <n v="20"/>
    <n v="4"/>
    <n v="5"/>
    <n v="3"/>
    <n v="8"/>
    <n v="3"/>
    <n v="7"/>
    <n v="85.4"/>
    <n v="85.6"/>
    <n v="1"/>
    <n v="0"/>
    <n v="58.3"/>
    <n v="73.099999999999994"/>
    <n v="35"/>
    <n v="65"/>
    <n v="7240"/>
    <n v="9879"/>
    <n v="0.73286769915983396"/>
  </r>
  <r>
    <x v="16"/>
    <n v="2"/>
    <x v="16"/>
    <n v="2"/>
    <n v="49.5"/>
    <n v="50.5"/>
    <n v="11"/>
    <n v="11"/>
    <n v="4"/>
    <n v="5"/>
    <n v="3"/>
    <n v="3"/>
    <n v="4"/>
    <n v="3"/>
    <n v="75.3"/>
    <n v="78.400000000000006"/>
    <n v="2"/>
    <n v="1"/>
    <n v="43.8"/>
    <n v="33.299999999999997"/>
    <n v="52"/>
    <n v="48"/>
    <n v="21356"/>
    <n v="25700"/>
    <n v="0.83097276264591435"/>
  </r>
  <r>
    <x v="17"/>
    <n v="1"/>
    <x v="17"/>
    <n v="1"/>
    <n v="66.3"/>
    <n v="33.700000000000003"/>
    <n v="10"/>
    <n v="6"/>
    <n v="5"/>
    <n v="3"/>
    <n v="1"/>
    <n v="2"/>
    <n v="4"/>
    <n v="1"/>
    <n v="84.3"/>
    <n v="66.7"/>
    <n v="1"/>
    <n v="2"/>
    <n v="61.1"/>
    <n v="51.7"/>
    <n v="65"/>
    <n v="35"/>
    <n v="50306"/>
    <n v="58000"/>
    <n v="0.8673448275862069"/>
  </r>
  <r>
    <x v="18"/>
    <n v="1"/>
    <x v="18"/>
    <n v="1"/>
    <n v="53.2"/>
    <n v="46.8"/>
    <n v="13"/>
    <n v="19"/>
    <n v="5"/>
    <n v="4"/>
    <n v="6"/>
    <n v="9"/>
    <n v="2"/>
    <n v="6"/>
    <n v="78.7"/>
    <n v="75.900000000000006"/>
    <n v="0"/>
    <n v="3"/>
    <n v="41.7"/>
    <n v="52.6"/>
    <n v="37.5"/>
    <n v="62.5"/>
    <n v="28684"/>
    <n v="29050"/>
    <n v="0.98740103270223756"/>
  </r>
  <r>
    <x v="19"/>
    <n v="1"/>
    <x v="19"/>
    <n v="0"/>
    <n v="18.3"/>
    <n v="81.7"/>
    <n v="6"/>
    <n v="11"/>
    <n v="2"/>
    <n v="3"/>
    <n v="3"/>
    <n v="7"/>
    <n v="1"/>
    <n v="1"/>
    <n v="49.7"/>
    <n v="89"/>
    <n v="0"/>
    <n v="0"/>
    <n v="66.7"/>
    <n v="37.5"/>
    <n v="25"/>
    <n v="75"/>
    <n v="26514"/>
    <n v="27445"/>
    <n v="0.96607760976498447"/>
  </r>
  <r>
    <x v="11"/>
    <n v="4"/>
    <x v="1"/>
    <n v="1"/>
    <n v="33.700000000000003"/>
    <n v="66.3"/>
    <n v="22"/>
    <n v="8"/>
    <n v="9"/>
    <n v="2"/>
    <n v="6"/>
    <n v="3"/>
    <n v="7"/>
    <n v="3"/>
    <n v="70.900000000000006"/>
    <n v="84.1"/>
    <n v="5"/>
    <n v="1"/>
    <n v="90.9"/>
    <n v="71.400000000000006"/>
    <n v="68.2"/>
    <n v="31.8"/>
    <n v="49122"/>
    <n v="49350"/>
    <n v="0.99537993920972645"/>
  </r>
  <r>
    <x v="7"/>
    <n v="0"/>
    <x v="9"/>
    <n v="3"/>
    <n v="33.1"/>
    <n v="66.900000000000006"/>
    <n v="4"/>
    <n v="16"/>
    <n v="4"/>
    <n v="5"/>
    <n v="0"/>
    <n v="6"/>
    <n v="0"/>
    <n v="5"/>
    <n v="69.5"/>
    <n v="85.3"/>
    <n v="1"/>
    <n v="3"/>
    <n v="47.2"/>
    <n v="66.7"/>
    <n v="52.2"/>
    <n v="47.8"/>
    <n v="29225"/>
    <n v="29261"/>
    <n v="0.99876969344861766"/>
  </r>
  <r>
    <x v="2"/>
    <n v="2"/>
    <x v="7"/>
    <n v="0"/>
    <n v="53.1"/>
    <n v="46.9"/>
    <n v="24"/>
    <n v="4"/>
    <n v="10"/>
    <n v="4"/>
    <n v="9"/>
    <n v="0"/>
    <n v="5"/>
    <n v="0"/>
    <n v="81.2"/>
    <n v="79"/>
    <n v="5"/>
    <n v="0"/>
    <n v="55"/>
    <n v="81.8"/>
    <n v="48.6"/>
    <n v="51.4"/>
    <n v="14075"/>
    <n v="15250"/>
    <n v="0.92295081967213111"/>
  </r>
  <r>
    <x v="5"/>
    <n v="0"/>
    <x v="2"/>
    <n v="3"/>
    <n v="36.799999999999997"/>
    <n v="63.2"/>
    <n v="7"/>
    <n v="9"/>
    <n v="3"/>
    <n v="4"/>
    <n v="3"/>
    <n v="3"/>
    <n v="1"/>
    <n v="2"/>
    <n v="85"/>
    <n v="91"/>
    <n v="1"/>
    <n v="1"/>
    <n v="68.8"/>
    <n v="71.400000000000006"/>
    <n v="50"/>
    <n v="50"/>
    <n v="36376"/>
    <n v="36572"/>
    <n v="0.99464070873892596"/>
  </r>
  <r>
    <x v="0"/>
    <n v="0"/>
    <x v="1"/>
    <n v="3"/>
    <n v="40.9"/>
    <n v="59.1"/>
    <n v="14"/>
    <n v="12"/>
    <n v="2"/>
    <n v="6"/>
    <n v="8"/>
    <n v="5"/>
    <n v="4"/>
    <n v="1"/>
    <n v="76.7"/>
    <n v="83.4"/>
    <n v="1"/>
    <n v="2"/>
    <n v="30"/>
    <n v="60"/>
    <n v="42.1"/>
    <n v="57.9"/>
    <n v="57139"/>
    <n v="57704"/>
    <n v="0.99020865104672118"/>
  </r>
  <r>
    <x v="6"/>
    <n v="2"/>
    <x v="3"/>
    <n v="2"/>
    <n v="36.1"/>
    <n v="63.9"/>
    <n v="9"/>
    <n v="18"/>
    <n v="4"/>
    <n v="5"/>
    <n v="3"/>
    <n v="7"/>
    <n v="2"/>
    <n v="6"/>
    <n v="64.400000000000006"/>
    <n v="80.8"/>
    <n v="0"/>
    <n v="0"/>
    <n v="52.2"/>
    <n v="57.1"/>
    <n v="37.9"/>
    <n v="62.1"/>
    <n v="33955"/>
    <n v="35220"/>
    <n v="0.96408290743895519"/>
  </r>
  <r>
    <x v="1"/>
    <n v="2"/>
    <x v="6"/>
    <n v="1"/>
    <n v="48.7"/>
    <n v="51.3"/>
    <n v="8"/>
    <n v="5"/>
    <n v="4"/>
    <n v="2"/>
    <n v="4"/>
    <n v="2"/>
    <n v="0"/>
    <n v="1"/>
    <n v="85"/>
    <n v="85.3"/>
    <n v="3"/>
    <n v="1"/>
    <n v="72.7"/>
    <n v="43.8"/>
    <n v="42.9"/>
    <n v="57.1"/>
    <n v="39164"/>
    <n v="39000"/>
    <n v="1.0042051282051283"/>
  </r>
  <r>
    <x v="3"/>
    <n v="2"/>
    <x v="4"/>
    <n v="2"/>
    <n v="76.099999999999994"/>
    <n v="23.9"/>
    <n v="14"/>
    <n v="11"/>
    <n v="6"/>
    <n v="2"/>
    <n v="3"/>
    <n v="7"/>
    <n v="5"/>
    <n v="2"/>
    <n v="89.1"/>
    <n v="60.8"/>
    <n v="1"/>
    <n v="3"/>
    <n v="64.3"/>
    <n v="53.6"/>
    <n v="55.2"/>
    <n v="44.8"/>
    <n v="37030"/>
    <n v="37343"/>
    <n v="0.9916182417052728"/>
  </r>
  <r>
    <x v="4"/>
    <n v="2"/>
    <x v="5"/>
    <n v="0"/>
    <n v="59.8"/>
    <n v="40.200000000000003"/>
    <n v="17"/>
    <n v="5"/>
    <n v="5"/>
    <n v="0"/>
    <n v="7"/>
    <n v="1"/>
    <n v="5"/>
    <n v="4"/>
    <n v="85.6"/>
    <n v="80.5"/>
    <n v="2"/>
    <n v="0"/>
    <n v="72.7"/>
    <n v="50"/>
    <n v="42.3"/>
    <n v="57.7"/>
    <n v="22034"/>
    <n v="23486"/>
    <n v="0.93817593459933579"/>
  </r>
  <r>
    <x v="8"/>
    <n v="2"/>
    <x v="0"/>
    <n v="0"/>
    <n v="48"/>
    <n v="52"/>
    <n v="27"/>
    <n v="5"/>
    <n v="9"/>
    <n v="0"/>
    <n v="11"/>
    <n v="5"/>
    <n v="7"/>
    <n v="0"/>
    <n v="81.8"/>
    <n v="80.400000000000006"/>
    <n v="4"/>
    <n v="0"/>
    <n v="61.5"/>
    <n v="87.5"/>
    <n v="53.3"/>
    <n v="46.7"/>
    <n v="70570"/>
    <n v="71310"/>
    <n v="0.98962277380451547"/>
  </r>
  <r>
    <x v="9"/>
    <n v="0"/>
    <x v="8"/>
    <n v="2"/>
    <n v="35.6"/>
    <n v="64.400000000000006"/>
    <n v="5"/>
    <n v="9"/>
    <n v="1"/>
    <n v="4"/>
    <n v="2"/>
    <n v="1"/>
    <n v="2"/>
    <n v="4"/>
    <n v="77.900000000000006"/>
    <n v="87.5"/>
    <n v="0"/>
    <n v="2"/>
    <n v="56.3"/>
    <n v="50"/>
    <n v="63.6"/>
    <n v="36.4"/>
    <n v="25978"/>
    <n v="29384"/>
    <n v="0.88408657772937649"/>
  </r>
  <r>
    <x v="16"/>
    <n v="5"/>
    <x v="11"/>
    <n v="3"/>
    <n v="57.1"/>
    <n v="42.9"/>
    <n v="17"/>
    <n v="18"/>
    <n v="7"/>
    <n v="9"/>
    <n v="5"/>
    <n v="4"/>
    <n v="5"/>
    <n v="5"/>
    <n v="82"/>
    <n v="76.8"/>
    <n v="2"/>
    <n v="2"/>
    <n v="63.6"/>
    <n v="57.1"/>
    <n v="64"/>
    <n v="36"/>
    <n v="21442"/>
    <n v="25700"/>
    <n v="0.83431906614785989"/>
  </r>
  <r>
    <x v="10"/>
    <n v="1"/>
    <x v="18"/>
    <n v="5"/>
    <n v="77.7"/>
    <n v="22.3"/>
    <n v="23"/>
    <n v="10"/>
    <n v="5"/>
    <n v="5"/>
    <n v="9"/>
    <n v="1"/>
    <n v="9"/>
    <n v="4"/>
    <n v="88.7"/>
    <n v="65.2"/>
    <n v="2"/>
    <n v="4"/>
    <n v="63.6"/>
    <n v="57.9"/>
    <n v="45.7"/>
    <n v="54.3"/>
    <n v="28567"/>
    <n v="28876"/>
    <n v="0.9892990718936141"/>
  </r>
  <r>
    <x v="19"/>
    <n v="4"/>
    <x v="13"/>
    <n v="3"/>
    <n v="35.9"/>
    <n v="64.099999999999994"/>
    <n v="9"/>
    <n v="19"/>
    <n v="4"/>
    <n v="5"/>
    <n v="3"/>
    <n v="9"/>
    <n v="2"/>
    <n v="5"/>
    <n v="69.599999999999994"/>
    <n v="83.4"/>
    <n v="1"/>
    <n v="4"/>
    <n v="40"/>
    <n v="66.7"/>
    <n v="60"/>
    <n v="40"/>
    <n v="26154"/>
    <n v="27445"/>
    <n v="0.95296046638732013"/>
  </r>
  <r>
    <x v="11"/>
    <n v="0"/>
    <x v="19"/>
    <n v="2"/>
    <n v="54.3"/>
    <n v="45.7"/>
    <n v="12"/>
    <n v="10"/>
    <n v="5"/>
    <n v="6"/>
    <n v="4"/>
    <n v="2"/>
    <n v="3"/>
    <n v="2"/>
    <n v="79.7"/>
    <n v="79.2"/>
    <n v="2"/>
    <n v="2"/>
    <n v="50"/>
    <n v="78.3"/>
    <n v="58.6"/>
    <n v="41.4"/>
    <n v="47267"/>
    <n v="49350"/>
    <n v="0.95779128672745695"/>
  </r>
  <r>
    <x v="12"/>
    <n v="1"/>
    <x v="15"/>
    <n v="0"/>
    <n v="34.6"/>
    <n v="65.400000000000006"/>
    <n v="15"/>
    <n v="19"/>
    <n v="4"/>
    <n v="4"/>
    <n v="5"/>
    <n v="12"/>
    <n v="6"/>
    <n v="3"/>
    <n v="76.2"/>
    <n v="86.5"/>
    <n v="2"/>
    <n v="1"/>
    <n v="41.2"/>
    <n v="50"/>
    <n v="53.1"/>
    <n v="46.9"/>
    <n v="59477"/>
    <n v="65013"/>
    <n v="0.91484779967083507"/>
  </r>
  <r>
    <x v="15"/>
    <n v="1"/>
    <x v="10"/>
    <n v="3"/>
    <n v="34"/>
    <n v="66"/>
    <n v="10"/>
    <n v="11"/>
    <n v="4"/>
    <n v="5"/>
    <n v="4"/>
    <n v="5"/>
    <n v="2"/>
    <n v="1"/>
    <n v="75.400000000000006"/>
    <n v="88.2"/>
    <n v="1"/>
    <n v="2"/>
    <n v="56.3"/>
    <n v="91.7"/>
    <n v="50"/>
    <n v="50"/>
    <n v="7357"/>
    <n v="9879"/>
    <n v="0.74471100313796945"/>
  </r>
  <r>
    <x v="13"/>
    <n v="2"/>
    <x v="12"/>
    <n v="1"/>
    <n v="80.900000000000006"/>
    <n v="19.100000000000001"/>
    <n v="18"/>
    <n v="4"/>
    <n v="6"/>
    <n v="2"/>
    <n v="10"/>
    <n v="1"/>
    <n v="2"/>
    <n v="1"/>
    <n v="91.1"/>
    <n v="59.7"/>
    <n v="2"/>
    <n v="0"/>
    <n v="71.400000000000006"/>
    <n v="50"/>
    <n v="52"/>
    <n v="48"/>
    <n v="50406"/>
    <n v="50400"/>
    <n v="1.0001190476190476"/>
  </r>
  <r>
    <x v="14"/>
    <n v="1"/>
    <x v="16"/>
    <n v="0"/>
    <n v="57.5"/>
    <n v="42.5"/>
    <n v="8"/>
    <n v="7"/>
    <n v="3"/>
    <n v="2"/>
    <n v="3"/>
    <n v="3"/>
    <n v="2"/>
    <n v="2"/>
    <n v="84"/>
    <n v="75.400000000000006"/>
    <n v="3"/>
    <n v="0"/>
    <n v="46.2"/>
    <n v="73.3"/>
    <n v="63.3"/>
    <n v="36.700000000000003"/>
    <n v="58093"/>
    <n v="59850"/>
    <n v="0.9706432748538012"/>
  </r>
  <r>
    <x v="18"/>
    <n v="1"/>
    <x v="17"/>
    <n v="0"/>
    <n v="38"/>
    <n v="62"/>
    <n v="6"/>
    <n v="16"/>
    <n v="2"/>
    <n v="3"/>
    <n v="2"/>
    <n v="6"/>
    <n v="2"/>
    <n v="7"/>
    <n v="73.5"/>
    <n v="85.9"/>
    <n v="1"/>
    <n v="2"/>
    <n v="69.2"/>
    <n v="70"/>
    <n v="32.1"/>
    <n v="67.900000000000006"/>
    <n v="28641"/>
    <n v="29050"/>
    <n v="0.98592082616179"/>
  </r>
  <r>
    <x v="17"/>
    <n v="1"/>
    <x v="14"/>
    <n v="0"/>
    <n v="53.9"/>
    <n v="46.1"/>
    <n v="15"/>
    <n v="5"/>
    <n v="5"/>
    <n v="1"/>
    <n v="6"/>
    <n v="3"/>
    <n v="4"/>
    <n v="1"/>
    <n v="81.5"/>
    <n v="74.8"/>
    <n v="2"/>
    <n v="0"/>
    <n v="55.6"/>
    <n v="54.5"/>
    <n v="50"/>
    <n v="50"/>
    <n v="49838"/>
    <n v="58000"/>
    <n v="0.85927586206896556"/>
  </r>
  <r>
    <x v="10"/>
    <n v="1"/>
    <x v="15"/>
    <n v="0"/>
    <n v="59.6"/>
    <n v="40.4"/>
    <n v="22"/>
    <n v="16"/>
    <n v="6"/>
    <n v="5"/>
    <n v="11"/>
    <n v="6"/>
    <n v="5"/>
    <n v="5"/>
    <n v="86.3"/>
    <n v="75.599999999999994"/>
    <n v="0"/>
    <n v="2"/>
    <n v="53.3"/>
    <n v="65"/>
    <n v="63.2"/>
    <n v="36.799999999999997"/>
    <n v="28577"/>
    <n v="28876"/>
    <n v="0.98964538024657156"/>
  </r>
  <r>
    <x v="17"/>
    <n v="1"/>
    <x v="8"/>
    <n v="0"/>
    <n v="57.1"/>
    <n v="42.9"/>
    <n v="15"/>
    <n v="9"/>
    <n v="3"/>
    <n v="3"/>
    <n v="9"/>
    <n v="3"/>
    <n v="3"/>
    <n v="3"/>
    <n v="85.2"/>
    <n v="83.9"/>
    <n v="1"/>
    <n v="1"/>
    <n v="57.1"/>
    <n v="53.3"/>
    <n v="66.7"/>
    <n v="33.299999999999997"/>
    <n v="49602"/>
    <n v="58000"/>
    <n v="0.85520689655172411"/>
  </r>
  <r>
    <x v="13"/>
    <n v="3"/>
    <x v="7"/>
    <n v="0"/>
    <n v="68.900000000000006"/>
    <n v="31.1"/>
    <n v="16"/>
    <n v="6"/>
    <n v="7"/>
    <n v="2"/>
    <n v="7"/>
    <n v="3"/>
    <n v="2"/>
    <n v="1"/>
    <n v="90.7"/>
    <n v="78"/>
    <n v="6"/>
    <n v="1"/>
    <n v="56.3"/>
    <n v="66.7"/>
    <n v="41.7"/>
    <n v="58.3"/>
    <n v="50305"/>
    <n v="50400"/>
    <n v="0.99811507936507937"/>
  </r>
  <r>
    <x v="0"/>
    <n v="3"/>
    <x v="10"/>
    <n v="1"/>
    <n v="54.8"/>
    <n v="45.2"/>
    <n v="16"/>
    <n v="7"/>
    <n v="10"/>
    <n v="4"/>
    <n v="3"/>
    <n v="1"/>
    <n v="3"/>
    <n v="2"/>
    <n v="86.6"/>
    <n v="84.2"/>
    <n v="1"/>
    <n v="2"/>
    <n v="33.299999999999997"/>
    <n v="73.3"/>
    <n v="37.5"/>
    <n v="62.5"/>
    <n v="57144"/>
    <n v="57704"/>
    <n v="0.99029530015250244"/>
  </r>
  <r>
    <x v="7"/>
    <n v="2"/>
    <x v="18"/>
    <n v="2"/>
    <n v="55.3"/>
    <n v="44.7"/>
    <n v="15"/>
    <n v="23"/>
    <n v="6"/>
    <n v="8"/>
    <n v="4"/>
    <n v="9"/>
    <n v="5"/>
    <n v="6"/>
    <n v="74.099999999999994"/>
    <n v="72.099999999999994"/>
    <n v="3"/>
    <n v="1"/>
    <n v="52.6"/>
    <n v="60"/>
    <n v="47.6"/>
    <n v="52.4"/>
    <n v="29173"/>
    <n v="29261"/>
    <n v="0.99699258398550972"/>
  </r>
  <r>
    <x v="15"/>
    <n v="4"/>
    <x v="12"/>
    <n v="1"/>
    <n v="42.1"/>
    <n v="57.9"/>
    <n v="12"/>
    <n v="15"/>
    <n v="7"/>
    <n v="6"/>
    <n v="2"/>
    <n v="7"/>
    <n v="3"/>
    <n v="2"/>
    <n v="73"/>
    <n v="80.400000000000006"/>
    <n v="2"/>
    <n v="1"/>
    <n v="50"/>
    <n v="42.1"/>
    <n v="34.299999999999997"/>
    <n v="65.7"/>
    <n v="7434"/>
    <n v="9879"/>
    <n v="0.75250531430306711"/>
  </r>
  <r>
    <x v="16"/>
    <n v="1"/>
    <x v="2"/>
    <n v="2"/>
    <n v="37.4"/>
    <n v="62.6"/>
    <n v="4"/>
    <n v="12"/>
    <n v="1"/>
    <n v="9"/>
    <n v="1"/>
    <n v="3"/>
    <n v="2"/>
    <n v="0"/>
    <n v="81.3"/>
    <n v="87"/>
    <n v="1"/>
    <n v="1"/>
    <n v="63.6"/>
    <n v="71.400000000000006"/>
    <n v="46.9"/>
    <n v="53.1"/>
    <n v="21498"/>
    <n v="25700"/>
    <n v="0.83649805447470815"/>
  </r>
  <r>
    <x v="8"/>
    <n v="1"/>
    <x v="17"/>
    <n v="0"/>
    <n v="57.1"/>
    <n v="42.9"/>
    <n v="14"/>
    <n v="7"/>
    <n v="6"/>
    <n v="1"/>
    <n v="6"/>
    <n v="2"/>
    <n v="2"/>
    <n v="4"/>
    <n v="84.9"/>
    <n v="78.099999999999994"/>
    <n v="1"/>
    <n v="0"/>
    <n v="78.599999999999994"/>
    <n v="46.7"/>
    <n v="50"/>
    <n v="50"/>
    <n v="70592"/>
    <n v="71310"/>
    <n v="0.98993128593465152"/>
  </r>
  <r>
    <x v="11"/>
    <n v="3"/>
    <x v="13"/>
    <n v="1"/>
    <n v="63.4"/>
    <n v="36.6"/>
    <n v="22"/>
    <n v="4"/>
    <n v="5"/>
    <n v="3"/>
    <n v="9"/>
    <n v="1"/>
    <n v="8"/>
    <n v="0"/>
    <n v="81.900000000000006"/>
    <n v="69.8"/>
    <n v="3"/>
    <n v="1"/>
    <n v="41.2"/>
    <n v="69.599999999999994"/>
    <n v="75"/>
    <n v="25"/>
    <n v="49234"/>
    <n v="49350"/>
    <n v="0.99764944275582579"/>
  </r>
  <r>
    <x v="17"/>
    <n v="4"/>
    <x v="6"/>
    <n v="3"/>
    <n v="67.599999999999994"/>
    <n v="32.4"/>
    <n v="12"/>
    <n v="10"/>
    <n v="4"/>
    <n v="7"/>
    <n v="4"/>
    <n v="3"/>
    <n v="4"/>
    <n v="0"/>
    <n v="88.3"/>
    <n v="73.7"/>
    <n v="2"/>
    <n v="4"/>
    <n v="68.8"/>
    <n v="62.5"/>
    <n v="74.099999999999994"/>
    <n v="25.9"/>
    <n v="50275"/>
    <n v="58000"/>
    <n v="0.86681034482758623"/>
  </r>
  <r>
    <x v="4"/>
    <n v="4"/>
    <x v="7"/>
    <n v="3"/>
    <n v="59.9"/>
    <n v="40.1"/>
    <n v="16"/>
    <n v="8"/>
    <n v="6"/>
    <n v="4"/>
    <n v="4"/>
    <n v="3"/>
    <n v="6"/>
    <n v="1"/>
    <n v="78.7"/>
    <n v="65.599999999999994"/>
    <n v="0"/>
    <n v="1"/>
    <n v="61.9"/>
    <n v="65.2"/>
    <n v="57.4"/>
    <n v="42.6"/>
    <n v="22148"/>
    <n v="23486"/>
    <n v="0.94302989014732186"/>
  </r>
  <r>
    <x v="2"/>
    <n v="2"/>
    <x v="4"/>
    <n v="1"/>
    <n v="68.900000000000006"/>
    <n v="31.1"/>
    <n v="14"/>
    <n v="5"/>
    <n v="8"/>
    <n v="3"/>
    <n v="3"/>
    <n v="1"/>
    <n v="3"/>
    <n v="1"/>
    <n v="84.7"/>
    <n v="68.2"/>
    <n v="0"/>
    <n v="1"/>
    <n v="55.6"/>
    <n v="61.9"/>
    <n v="48.9"/>
    <n v="51.1"/>
    <n v="14080"/>
    <n v="15250"/>
    <n v="0.92327868852459016"/>
  </r>
  <r>
    <x v="10"/>
    <n v="6"/>
    <x v="0"/>
    <n v="0"/>
    <n v="57.2"/>
    <n v="42.8"/>
    <n v="22"/>
    <n v="10"/>
    <n v="8"/>
    <n v="2"/>
    <n v="7"/>
    <n v="5"/>
    <n v="7"/>
    <n v="3"/>
    <n v="88.2"/>
    <n v="81.400000000000006"/>
    <n v="4"/>
    <n v="0"/>
    <n v="60"/>
    <n v="56.3"/>
    <n v="90"/>
    <n v="10"/>
    <n v="28584"/>
    <n v="28876"/>
    <n v="0.98988779609364175"/>
  </r>
  <r>
    <x v="5"/>
    <n v="1"/>
    <x v="3"/>
    <n v="4"/>
    <n v="39.6"/>
    <n v="60.4"/>
    <n v="13"/>
    <n v="15"/>
    <n v="5"/>
    <n v="8"/>
    <n v="5"/>
    <n v="3"/>
    <n v="3"/>
    <n v="4"/>
    <n v="65.3"/>
    <n v="74.8"/>
    <n v="0"/>
    <n v="1"/>
    <n v="50"/>
    <n v="50"/>
    <n v="55"/>
    <n v="45"/>
    <n v="36248"/>
    <n v="36572"/>
    <n v="0.99114076342557145"/>
  </r>
  <r>
    <x v="9"/>
    <n v="0"/>
    <x v="5"/>
    <n v="1"/>
    <n v="56.5"/>
    <n v="43.5"/>
    <n v="11"/>
    <n v="16"/>
    <n v="2"/>
    <n v="2"/>
    <n v="6"/>
    <n v="4"/>
    <n v="3"/>
    <n v="10"/>
    <n v="82"/>
    <n v="78.400000000000006"/>
    <n v="0"/>
    <n v="0"/>
    <n v="78.900000000000006"/>
    <n v="57.1"/>
    <n v="45.5"/>
    <n v="54.5"/>
    <n v="27414"/>
    <n v="29384"/>
    <n v="0.93295671113531176"/>
  </r>
  <r>
    <x v="14"/>
    <n v="2"/>
    <x v="15"/>
    <n v="2"/>
    <n v="39.9"/>
    <n v="60.1"/>
    <n v="18"/>
    <n v="17"/>
    <n v="7"/>
    <n v="8"/>
    <n v="7"/>
    <n v="5"/>
    <n v="4"/>
    <n v="4"/>
    <n v="81.400000000000006"/>
    <n v="86.3"/>
    <n v="4"/>
    <n v="3"/>
    <n v="68.400000000000006"/>
    <n v="81.3"/>
    <n v="52.2"/>
    <n v="47.8"/>
    <n v="58586"/>
    <n v="59850"/>
    <n v="0.97888053467000835"/>
  </r>
  <r>
    <x v="19"/>
    <n v="3"/>
    <x v="1"/>
    <n v="1"/>
    <n v="24.8"/>
    <n v="75.2"/>
    <n v="12"/>
    <n v="17"/>
    <n v="5"/>
    <n v="7"/>
    <n v="5"/>
    <n v="6"/>
    <n v="2"/>
    <n v="4"/>
    <n v="66.8"/>
    <n v="86.5"/>
    <n v="1"/>
    <n v="2"/>
    <n v="61.1"/>
    <n v="64.3"/>
    <n v="47.4"/>
    <n v="52.6"/>
    <n v="25808"/>
    <n v="27445"/>
    <n v="0.94035343414100925"/>
  </r>
  <r>
    <x v="3"/>
    <n v="0"/>
    <x v="14"/>
    <n v="2"/>
    <n v="72.900000000000006"/>
    <n v="27.1"/>
    <n v="15"/>
    <n v="7"/>
    <n v="4"/>
    <n v="1"/>
    <n v="8"/>
    <n v="5"/>
    <n v="3"/>
    <n v="1"/>
    <n v="88.2"/>
    <n v="65.8"/>
    <n v="1"/>
    <n v="0"/>
    <n v="50"/>
    <n v="46.2"/>
    <n v="55.9"/>
    <n v="44.1"/>
    <n v="36929"/>
    <n v="37343"/>
    <n v="0.98891358487534475"/>
  </r>
  <r>
    <x v="12"/>
    <n v="1"/>
    <x v="9"/>
    <n v="2"/>
    <n v="27.4"/>
    <n v="72.599999999999994"/>
    <n v="7"/>
    <n v="20"/>
    <n v="2"/>
    <n v="4"/>
    <n v="4"/>
    <n v="9"/>
    <n v="1"/>
    <n v="7"/>
    <n v="69.8"/>
    <n v="87.4"/>
    <n v="0"/>
    <n v="3"/>
    <n v="84.6"/>
    <n v="55"/>
    <n v="36.4"/>
    <n v="63.6"/>
    <n v="59473"/>
    <n v="65013"/>
    <n v="0.9147862735145279"/>
  </r>
  <r>
    <x v="13"/>
    <n v="4"/>
    <x v="19"/>
    <n v="1"/>
    <n v="51.9"/>
    <n v="48.1"/>
    <n v="14"/>
    <n v="8"/>
    <n v="9"/>
    <n v="2"/>
    <n v="3"/>
    <n v="3"/>
    <n v="2"/>
    <n v="3"/>
    <n v="85.1"/>
    <n v="84.7"/>
    <n v="4"/>
    <n v="0"/>
    <n v="72.7"/>
    <n v="40"/>
    <n v="55.6"/>
    <n v="44.4"/>
    <n v="50482"/>
    <n v="50400"/>
    <n v="1.001626984126984"/>
  </r>
  <r>
    <x v="18"/>
    <n v="2"/>
    <x v="16"/>
    <n v="0"/>
    <n v="41.2"/>
    <n v="58.8"/>
    <n v="9"/>
    <n v="14"/>
    <n v="3"/>
    <n v="4"/>
    <n v="4"/>
    <n v="4"/>
    <n v="2"/>
    <n v="6"/>
    <n v="73.8"/>
    <n v="81.599999999999994"/>
    <n v="0"/>
    <n v="0"/>
    <n v="38.1"/>
    <n v="54.5"/>
    <n v="55.9"/>
    <n v="44.1"/>
    <n v="27792"/>
    <n v="29050"/>
    <n v="0.95669535283993112"/>
  </r>
  <r>
    <x v="1"/>
    <n v="1"/>
    <x v="8"/>
    <n v="0"/>
    <n v="51.8"/>
    <n v="48.2"/>
    <n v="14"/>
    <n v="1"/>
    <n v="3"/>
    <n v="0"/>
    <n v="4"/>
    <n v="1"/>
    <n v="7"/>
    <n v="0"/>
    <n v="83.7"/>
    <n v="81.3"/>
    <n v="0"/>
    <n v="0"/>
    <n v="63.6"/>
    <n v="38.1"/>
    <n v="65.2"/>
    <n v="34.799999999999997"/>
    <n v="38046"/>
    <n v="39000"/>
    <n v="0.97553846153846158"/>
  </r>
  <r>
    <x v="6"/>
    <n v="1"/>
    <x v="11"/>
    <n v="1"/>
    <n v="40.799999999999997"/>
    <n v="59.2"/>
    <n v="13"/>
    <n v="15"/>
    <n v="3"/>
    <n v="3"/>
    <n v="6"/>
    <n v="6"/>
    <n v="4"/>
    <n v="6"/>
    <n v="64.2"/>
    <n v="73"/>
    <n v="3"/>
    <n v="3"/>
    <n v="50"/>
    <n v="61.9"/>
    <n v="47.1"/>
    <n v="52.9"/>
    <n v="33666"/>
    <n v="35220"/>
    <n v="0.95587734241908007"/>
  </r>
  <r>
    <x v="15"/>
    <n v="0"/>
    <x v="7"/>
    <n v="4"/>
    <n v="64.599999999999994"/>
    <n v="35.4"/>
    <n v="17"/>
    <n v="18"/>
    <n v="5"/>
    <n v="10"/>
    <n v="7"/>
    <n v="4"/>
    <n v="5"/>
    <n v="4"/>
    <n v="87.1"/>
    <n v="77.7"/>
    <n v="1"/>
    <n v="3"/>
    <n v="63.6"/>
    <n v="52.9"/>
    <n v="48.4"/>
    <n v="51.6"/>
    <n v="7465"/>
    <n v="9879"/>
    <n v="0.75564328373317136"/>
  </r>
  <r>
    <x v="11"/>
    <n v="6"/>
    <x v="6"/>
    <n v="1"/>
    <n v="57"/>
    <n v="43"/>
    <n v="25"/>
    <n v="11"/>
    <n v="8"/>
    <n v="3"/>
    <n v="5"/>
    <n v="5"/>
    <n v="12"/>
    <n v="3"/>
    <n v="86.4"/>
    <n v="79.099999999999994"/>
    <n v="5"/>
    <n v="1"/>
    <n v="53.8"/>
    <n v="64.7"/>
    <n v="71.400000000000006"/>
    <n v="28.6"/>
    <n v="49252"/>
    <n v="49350"/>
    <n v="0.99801418439716316"/>
  </r>
  <r>
    <x v="16"/>
    <n v="2"/>
    <x v="12"/>
    <n v="1"/>
    <n v="49.3"/>
    <n v="50.7"/>
    <n v="12"/>
    <n v="10"/>
    <n v="5"/>
    <n v="2"/>
    <n v="3"/>
    <n v="4"/>
    <n v="4"/>
    <n v="4"/>
    <n v="74.900000000000006"/>
    <n v="72.400000000000006"/>
    <n v="0"/>
    <n v="0"/>
    <n v="57.9"/>
    <n v="50"/>
    <n v="42.1"/>
    <n v="57.9"/>
    <n v="21356"/>
    <n v="25700"/>
    <n v="0.83097276264591435"/>
  </r>
  <r>
    <x v="2"/>
    <n v="1"/>
    <x v="17"/>
    <n v="1"/>
    <n v="42.5"/>
    <n v="57.5"/>
    <n v="16"/>
    <n v="14"/>
    <n v="5"/>
    <n v="2"/>
    <n v="6"/>
    <n v="11"/>
    <n v="5"/>
    <n v="1"/>
    <n v="68.2"/>
    <n v="78.900000000000006"/>
    <n v="3"/>
    <n v="3"/>
    <n v="37.5"/>
    <n v="33.299999999999997"/>
    <n v="58.1"/>
    <n v="41.9"/>
    <n v="14098"/>
    <n v="15250"/>
    <n v="0.92445901639344263"/>
  </r>
  <r>
    <x v="4"/>
    <n v="0"/>
    <x v="18"/>
    <n v="0"/>
    <n v="56.9"/>
    <n v="43.1"/>
    <n v="12"/>
    <n v="10"/>
    <n v="2"/>
    <n v="5"/>
    <n v="5"/>
    <n v="3"/>
    <n v="5"/>
    <n v="2"/>
    <n v="74.599999999999994"/>
    <n v="67.3"/>
    <n v="0"/>
    <n v="0"/>
    <n v="73.3"/>
    <n v="64.3"/>
    <n v="41.9"/>
    <n v="58.1"/>
    <n v="22202"/>
    <n v="23486"/>
    <n v="0.94532913224899939"/>
  </r>
  <r>
    <x v="7"/>
    <n v="2"/>
    <x v="0"/>
    <n v="1"/>
    <n v="41.8"/>
    <n v="58.2"/>
    <n v="15"/>
    <n v="16"/>
    <n v="8"/>
    <n v="3"/>
    <n v="4"/>
    <n v="7"/>
    <n v="3"/>
    <n v="6"/>
    <n v="74.2"/>
    <n v="81.7"/>
    <n v="1"/>
    <n v="0"/>
    <n v="54.5"/>
    <n v="66.7"/>
    <n v="55.3"/>
    <n v="44.7"/>
    <n v="29053"/>
    <n v="29261"/>
    <n v="0.99289156214756846"/>
  </r>
  <r>
    <x v="0"/>
    <n v="3"/>
    <x v="13"/>
    <n v="3"/>
    <n v="74.2"/>
    <n v="25.8"/>
    <n v="25"/>
    <n v="8"/>
    <n v="6"/>
    <n v="6"/>
    <n v="11"/>
    <n v="1"/>
    <n v="8"/>
    <n v="1"/>
    <n v="86.1"/>
    <n v="64.599999999999994"/>
    <n v="2"/>
    <n v="2"/>
    <n v="58.8"/>
    <n v="68.2"/>
    <n v="57.7"/>
    <n v="42.3"/>
    <n v="57175"/>
    <n v="57704"/>
    <n v="0.99083252460834603"/>
  </r>
  <r>
    <x v="6"/>
    <n v="1"/>
    <x v="9"/>
    <n v="6"/>
    <n v="26.4"/>
    <n v="73.599999999999994"/>
    <n v="13"/>
    <n v="13"/>
    <n v="3"/>
    <n v="7"/>
    <n v="7"/>
    <n v="4"/>
    <n v="3"/>
    <n v="2"/>
    <n v="68.900000000000006"/>
    <n v="89.1"/>
    <n v="1"/>
    <n v="4"/>
    <n v="53.8"/>
    <n v="47.6"/>
    <n v="52.6"/>
    <n v="47.4"/>
    <n v="33657"/>
    <n v="35220"/>
    <n v="0.95562180579216349"/>
  </r>
  <r>
    <x v="12"/>
    <n v="2"/>
    <x v="19"/>
    <n v="2"/>
    <n v="28.5"/>
    <n v="71.5"/>
    <n v="16"/>
    <n v="11"/>
    <n v="3"/>
    <n v="5"/>
    <n v="6"/>
    <n v="4"/>
    <n v="7"/>
    <n v="2"/>
    <n v="69"/>
    <n v="87"/>
    <n v="2"/>
    <n v="2"/>
    <n v="47.1"/>
    <n v="69.2"/>
    <n v="54.8"/>
    <n v="45.2"/>
    <n v="59475"/>
    <n v="65013"/>
    <n v="0.91481703659268143"/>
  </r>
  <r>
    <x v="19"/>
    <n v="0"/>
    <x v="15"/>
    <n v="2"/>
    <n v="31.8"/>
    <n v="68.2"/>
    <n v="6"/>
    <n v="22"/>
    <n v="0"/>
    <n v="8"/>
    <n v="4"/>
    <n v="9"/>
    <n v="2"/>
    <n v="5"/>
    <n v="65.099999999999994"/>
    <n v="82.9"/>
    <n v="2"/>
    <n v="4"/>
    <n v="55"/>
    <n v="83.3"/>
    <n v="46.4"/>
    <n v="53.6"/>
    <n v="26435"/>
    <n v="27445"/>
    <n v="0.96319912552377485"/>
  </r>
  <r>
    <x v="1"/>
    <n v="3"/>
    <x v="3"/>
    <n v="0"/>
    <n v="52"/>
    <n v="48"/>
    <n v="16"/>
    <n v="8"/>
    <n v="6"/>
    <n v="2"/>
    <n v="6"/>
    <n v="3"/>
    <n v="4"/>
    <n v="3"/>
    <n v="78.2"/>
    <n v="78.2"/>
    <n v="3"/>
    <n v="1"/>
    <n v="61.1"/>
    <n v="61.1"/>
    <n v="42.1"/>
    <n v="57.9"/>
    <n v="39055"/>
    <n v="39000"/>
    <n v="1.0014102564102565"/>
  </r>
  <r>
    <x v="3"/>
    <n v="1"/>
    <x v="1"/>
    <n v="2"/>
    <n v="42.6"/>
    <n v="57.4"/>
    <n v="8"/>
    <n v="26"/>
    <n v="2"/>
    <n v="10"/>
    <n v="5"/>
    <n v="10"/>
    <n v="1"/>
    <n v="6"/>
    <n v="81.400000000000006"/>
    <n v="85.6"/>
    <n v="0"/>
    <n v="1"/>
    <n v="72.2"/>
    <n v="54.2"/>
    <n v="52.9"/>
    <n v="47.1"/>
    <n v="37126"/>
    <n v="37343"/>
    <n v="0.99418900463272908"/>
  </r>
  <r>
    <x v="5"/>
    <n v="1"/>
    <x v="8"/>
    <n v="3"/>
    <n v="46.5"/>
    <n v="53.5"/>
    <n v="15"/>
    <n v="21"/>
    <n v="7"/>
    <n v="7"/>
    <n v="6"/>
    <n v="9"/>
    <n v="2"/>
    <n v="5"/>
    <n v="74"/>
    <n v="75.2"/>
    <n v="3"/>
    <n v="2"/>
    <n v="71.400000000000006"/>
    <n v="64.7"/>
    <n v="50"/>
    <n v="50"/>
    <n v="36241"/>
    <n v="36572"/>
    <n v="0.99094936016624735"/>
  </r>
  <r>
    <x v="9"/>
    <n v="0"/>
    <x v="16"/>
    <n v="2"/>
    <n v="58.2"/>
    <n v="41.8"/>
    <n v="11"/>
    <n v="10"/>
    <n v="4"/>
    <n v="2"/>
    <n v="4"/>
    <n v="4"/>
    <n v="3"/>
    <n v="4"/>
    <n v="84.2"/>
    <n v="75.7"/>
    <n v="1"/>
    <n v="0"/>
    <n v="46.7"/>
    <n v="77.3"/>
    <n v="58.8"/>
    <n v="41.2"/>
    <n v="27309"/>
    <n v="29384"/>
    <n v="0.92938333787095018"/>
  </r>
  <r>
    <x v="14"/>
    <n v="2"/>
    <x v="5"/>
    <n v="3"/>
    <n v="57.4"/>
    <n v="42.6"/>
    <n v="24"/>
    <n v="9"/>
    <n v="8"/>
    <n v="6"/>
    <n v="8"/>
    <n v="2"/>
    <n v="8"/>
    <n v="1"/>
    <n v="81.400000000000006"/>
    <n v="76.3"/>
    <n v="3"/>
    <n v="2"/>
    <n v="64.7"/>
    <n v="70.599999999999994"/>
    <n v="67.7"/>
    <n v="32.299999999999997"/>
    <n v="58369"/>
    <n v="59850"/>
    <n v="0.97525480367585626"/>
  </r>
  <r>
    <x v="18"/>
    <n v="2"/>
    <x v="14"/>
    <n v="0"/>
    <n v="50.6"/>
    <n v="49.4"/>
    <n v="11"/>
    <n v="10"/>
    <n v="9"/>
    <n v="3"/>
    <n v="0"/>
    <n v="3"/>
    <n v="2"/>
    <n v="4"/>
    <n v="79.5"/>
    <n v="80.7"/>
    <n v="0"/>
    <n v="0"/>
    <n v="52.4"/>
    <n v="47.8"/>
    <n v="35.5"/>
    <n v="64.5"/>
    <n v="27769"/>
    <n v="29050"/>
    <n v="0.95590361445783134"/>
  </r>
  <r>
    <x v="13"/>
    <n v="3"/>
    <x v="11"/>
    <n v="1"/>
    <n v="70.599999999999994"/>
    <n v="29.4"/>
    <n v="12"/>
    <n v="11"/>
    <n v="4"/>
    <n v="4"/>
    <n v="5"/>
    <n v="4"/>
    <n v="3"/>
    <n v="3"/>
    <n v="92.2"/>
    <n v="80.099999999999994"/>
    <n v="1"/>
    <n v="1"/>
    <n v="54.5"/>
    <n v="70"/>
    <n v="31.8"/>
    <n v="68.2"/>
    <n v="50329"/>
    <n v="50400"/>
    <n v="0.99859126984126989"/>
  </r>
  <r>
    <x v="6"/>
    <n v="1"/>
    <x v="16"/>
    <n v="5"/>
    <n v="48"/>
    <n v="52"/>
    <n v="11"/>
    <n v="16"/>
    <n v="7"/>
    <n v="8"/>
    <n v="4"/>
    <n v="4"/>
    <n v="0"/>
    <n v="4"/>
    <n v="75.7"/>
    <n v="74.5"/>
    <n v="1"/>
    <n v="5"/>
    <n v="55.9"/>
    <n v="72.7"/>
    <n v="41"/>
    <n v="59"/>
    <n v="33427"/>
    <n v="35220"/>
    <n v="0.94909142532651902"/>
  </r>
  <r>
    <x v="17"/>
    <n v="2"/>
    <x v="19"/>
    <n v="2"/>
    <n v="59"/>
    <n v="41"/>
    <n v="21"/>
    <n v="9"/>
    <n v="6"/>
    <n v="5"/>
    <n v="10"/>
    <n v="2"/>
    <n v="5"/>
    <n v="2"/>
    <n v="82.3"/>
    <n v="76.599999999999994"/>
    <n v="6"/>
    <n v="2"/>
    <n v="54.5"/>
    <n v="52.4"/>
    <n v="51.9"/>
    <n v="48.1"/>
    <n v="50267"/>
    <n v="58000"/>
    <n v="0.86667241379310345"/>
  </r>
  <r>
    <x v="8"/>
    <n v="2"/>
    <x v="18"/>
    <n v="0"/>
    <n v="63.8"/>
    <n v="36.200000000000003"/>
    <n v="29"/>
    <n v="15"/>
    <n v="11"/>
    <n v="1"/>
    <n v="10"/>
    <n v="6"/>
    <n v="8"/>
    <n v="8"/>
    <n v="87.1"/>
    <n v="71.3"/>
    <n v="5"/>
    <n v="1"/>
    <n v="60"/>
    <n v="66.7"/>
    <n v="50"/>
    <n v="50"/>
    <n v="70509"/>
    <n v="71310"/>
    <n v="0.98876735380732017"/>
  </r>
  <r>
    <x v="1"/>
    <n v="2"/>
    <x v="4"/>
    <n v="0"/>
    <n v="65.3"/>
    <n v="34.700000000000003"/>
    <n v="8"/>
    <n v="6"/>
    <n v="3"/>
    <n v="2"/>
    <n v="4"/>
    <n v="1"/>
    <n v="1"/>
    <n v="3"/>
    <n v="85.7"/>
    <n v="65.599999999999994"/>
    <n v="1"/>
    <n v="0"/>
    <n v="66.7"/>
    <n v="64.7"/>
    <n v="44"/>
    <n v="56"/>
    <n v="39076"/>
    <n v="39000"/>
    <n v="1.0019487179487179"/>
  </r>
  <r>
    <x v="2"/>
    <n v="1"/>
    <x v="3"/>
    <n v="2"/>
    <n v="41"/>
    <n v="59"/>
    <n v="12"/>
    <n v="10"/>
    <n v="6"/>
    <n v="4"/>
    <n v="4"/>
    <n v="4"/>
    <n v="2"/>
    <n v="2"/>
    <n v="75.5"/>
    <n v="82.6"/>
    <n v="0"/>
    <n v="1"/>
    <n v="87.5"/>
    <n v="52.6"/>
    <n v="53.3"/>
    <n v="46.7"/>
    <n v="14107"/>
    <n v="15250"/>
    <n v="0.92504918032786887"/>
  </r>
  <r>
    <x v="16"/>
    <n v="0"/>
    <x v="7"/>
    <n v="1"/>
    <n v="76.599999999999994"/>
    <n v="23.4"/>
    <n v="16"/>
    <n v="9"/>
    <n v="3"/>
    <n v="5"/>
    <n v="2"/>
    <n v="4"/>
    <n v="11"/>
    <n v="0"/>
    <n v="88.2"/>
    <n v="62.2"/>
    <n v="1"/>
    <n v="1"/>
    <n v="52.9"/>
    <n v="35.299999999999997"/>
    <n v="38.5"/>
    <n v="61.5"/>
    <n v="21491"/>
    <n v="25700"/>
    <n v="0.83622568093385219"/>
  </r>
  <r>
    <x v="7"/>
    <n v="0"/>
    <x v="5"/>
    <n v="1"/>
    <n v="50.8"/>
    <n v="49.2"/>
    <n v="14"/>
    <n v="19"/>
    <n v="4"/>
    <n v="7"/>
    <n v="8"/>
    <n v="2"/>
    <n v="2"/>
    <n v="10"/>
    <n v="75.400000000000006"/>
    <n v="78.7"/>
    <n v="1"/>
    <n v="1"/>
    <n v="42.1"/>
    <n v="62.5"/>
    <n v="47.4"/>
    <n v="52.6"/>
    <n v="29094"/>
    <n v="29261"/>
    <n v="0.99429274460886508"/>
  </r>
  <r>
    <x v="14"/>
    <n v="2"/>
    <x v="1"/>
    <n v="1"/>
    <n v="35.200000000000003"/>
    <n v="64.8"/>
    <n v="9"/>
    <n v="17"/>
    <n v="3"/>
    <n v="4"/>
    <n v="4"/>
    <n v="5"/>
    <n v="2"/>
    <n v="8"/>
    <n v="77.3"/>
    <n v="87.1"/>
    <n v="0"/>
    <n v="2"/>
    <n v="58.8"/>
    <n v="44.4"/>
    <n v="33.299999999999997"/>
    <n v="66.7"/>
    <n v="58405"/>
    <n v="59850"/>
    <n v="0.97585630743525476"/>
  </r>
  <r>
    <x v="18"/>
    <n v="1"/>
    <x v="10"/>
    <n v="0"/>
    <n v="37.6"/>
    <n v="62.4"/>
    <n v="9"/>
    <n v="13"/>
    <n v="4"/>
    <n v="1"/>
    <n v="3"/>
    <n v="4"/>
    <n v="2"/>
    <n v="8"/>
    <n v="74.5"/>
    <n v="83.6"/>
    <n v="0"/>
    <n v="0"/>
    <n v="59.1"/>
    <n v="55.6"/>
    <n v="36"/>
    <n v="64"/>
    <n v="28614"/>
    <n v="29050"/>
    <n v="0.98499139414802062"/>
  </r>
  <r>
    <x v="9"/>
    <n v="1"/>
    <x v="2"/>
    <n v="4"/>
    <n v="27.2"/>
    <n v="72.8"/>
    <n v="4"/>
    <n v="13"/>
    <n v="1"/>
    <n v="8"/>
    <n v="2"/>
    <n v="2"/>
    <n v="1"/>
    <n v="3"/>
    <n v="75.3"/>
    <n v="89.2"/>
    <n v="1"/>
    <n v="3"/>
    <n v="81.8"/>
    <n v="77.8"/>
    <n v="35"/>
    <n v="65"/>
    <n v="27963"/>
    <n v="29384"/>
    <n v="0.95164034848897361"/>
  </r>
  <r>
    <x v="8"/>
    <n v="1"/>
    <x v="14"/>
    <n v="0"/>
    <n v="64.7"/>
    <n v="35.299999999999997"/>
    <n v="18"/>
    <n v="6"/>
    <n v="3"/>
    <n v="1"/>
    <n v="8"/>
    <n v="4"/>
    <n v="7"/>
    <n v="1"/>
    <n v="85.7"/>
    <n v="76.099999999999994"/>
    <n v="1"/>
    <n v="1"/>
    <n v="73.3"/>
    <n v="72.2"/>
    <n v="57.5"/>
    <n v="42.5"/>
    <n v="70309"/>
    <n v="71310"/>
    <n v="0.98596269807881087"/>
  </r>
  <r>
    <x v="12"/>
    <n v="1"/>
    <x v="3"/>
    <n v="5"/>
    <n v="42"/>
    <n v="58"/>
    <n v="7"/>
    <n v="15"/>
    <n v="2"/>
    <n v="8"/>
    <n v="3"/>
    <n v="5"/>
    <n v="2"/>
    <n v="2"/>
    <n v="73.599999999999994"/>
    <n v="80.7"/>
    <n v="1"/>
    <n v="4"/>
    <n v="38.5"/>
    <n v="58.3"/>
    <n v="38.700000000000003"/>
    <n v="61.3"/>
    <n v="59470"/>
    <n v="65013"/>
    <n v="0.9147401288972975"/>
  </r>
  <r>
    <x v="15"/>
    <n v="0"/>
    <x v="1"/>
    <n v="2"/>
    <n v="36.700000000000003"/>
    <n v="63.3"/>
    <n v="14"/>
    <n v="16"/>
    <n v="3"/>
    <n v="6"/>
    <n v="6"/>
    <n v="9"/>
    <n v="5"/>
    <n v="1"/>
    <n v="78.2"/>
    <n v="87.1"/>
    <n v="1"/>
    <n v="3"/>
    <n v="44.4"/>
    <n v="52.9"/>
    <n v="46.2"/>
    <n v="53.8"/>
    <n v="7266"/>
    <n v="9879"/>
    <n v="0.73549954448830857"/>
  </r>
  <r>
    <x v="6"/>
    <n v="2"/>
    <x v="4"/>
    <n v="1"/>
    <n v="62.4"/>
    <n v="37.6"/>
    <n v="21"/>
    <n v="13"/>
    <n v="6"/>
    <n v="1"/>
    <n v="6"/>
    <n v="4"/>
    <n v="9"/>
    <n v="8"/>
    <n v="81.2"/>
    <n v="66.900000000000006"/>
    <n v="1"/>
    <n v="0"/>
    <n v="60"/>
    <n v="27.8"/>
    <n v="60.5"/>
    <n v="39.5"/>
    <n v="33740"/>
    <n v="35220"/>
    <n v="0.95797842135150479"/>
  </r>
  <r>
    <x v="7"/>
    <n v="1"/>
    <x v="17"/>
    <n v="2"/>
    <n v="35.9"/>
    <n v="64.099999999999994"/>
    <n v="9"/>
    <n v="15"/>
    <n v="4"/>
    <n v="5"/>
    <n v="4"/>
    <n v="5"/>
    <n v="1"/>
    <n v="5"/>
    <n v="74.5"/>
    <n v="88.2"/>
    <n v="2"/>
    <n v="1"/>
    <n v="68.400000000000006"/>
    <n v="42.9"/>
    <n v="37.5"/>
    <n v="62.5"/>
    <n v="29087"/>
    <n v="29261"/>
    <n v="0.99405351833498512"/>
  </r>
  <r>
    <x v="3"/>
    <n v="0"/>
    <x v="9"/>
    <n v="0"/>
    <n v="49.6"/>
    <n v="50.4"/>
    <n v="12"/>
    <n v="7"/>
    <n v="3"/>
    <n v="4"/>
    <n v="7"/>
    <n v="0"/>
    <n v="2"/>
    <n v="3"/>
    <n v="83.7"/>
    <n v="83.6"/>
    <n v="3"/>
    <n v="0"/>
    <n v="75"/>
    <n v="53.8"/>
    <n v="44.4"/>
    <n v="55.6"/>
    <n v="37093"/>
    <n v="37343"/>
    <n v="0.99330530487641588"/>
  </r>
  <r>
    <x v="5"/>
    <n v="1"/>
    <x v="6"/>
    <n v="1"/>
    <n v="39.299999999999997"/>
    <n v="60.7"/>
    <n v="15"/>
    <n v="8"/>
    <n v="6"/>
    <n v="2"/>
    <n v="5"/>
    <n v="5"/>
    <n v="4"/>
    <n v="1"/>
    <n v="80.400000000000006"/>
    <n v="84.2"/>
    <n v="1"/>
    <n v="1"/>
    <n v="65.2"/>
    <n v="57.1"/>
    <n v="46.4"/>
    <n v="53.6"/>
    <n v="36294"/>
    <n v="36572"/>
    <n v="0.99239855627255824"/>
  </r>
  <r>
    <x v="12"/>
    <n v="1"/>
    <x v="13"/>
    <n v="0"/>
    <n v="43"/>
    <n v="57"/>
    <n v="12"/>
    <n v="9"/>
    <n v="2"/>
    <n v="3"/>
    <n v="7"/>
    <n v="4"/>
    <n v="3"/>
    <n v="2"/>
    <n v="73.400000000000006"/>
    <n v="83.6"/>
    <n v="2"/>
    <n v="0"/>
    <n v="67.900000000000006"/>
    <n v="57.7"/>
    <n v="38.700000000000003"/>
    <n v="61.3"/>
    <n v="59465"/>
    <n v="65013"/>
    <n v="0.91466322120191346"/>
  </r>
  <r>
    <x v="11"/>
    <n v="2"/>
    <x v="15"/>
    <n v="0"/>
    <n v="45.7"/>
    <n v="54.3"/>
    <n v="22"/>
    <n v="6"/>
    <n v="6"/>
    <n v="1"/>
    <n v="9"/>
    <n v="3"/>
    <n v="7"/>
    <n v="2"/>
    <n v="77"/>
    <n v="81.099999999999994"/>
    <n v="3"/>
    <n v="0"/>
    <n v="68.2"/>
    <n v="66.7"/>
    <n v="63.6"/>
    <n v="36.4"/>
    <n v="49268"/>
    <n v="49350"/>
    <n v="0.99833839918946299"/>
  </r>
  <r>
    <x v="13"/>
    <n v="4"/>
    <x v="9"/>
    <n v="1"/>
    <n v="68.099999999999994"/>
    <n v="31.9"/>
    <n v="17"/>
    <n v="4"/>
    <n v="8"/>
    <n v="1"/>
    <n v="3"/>
    <n v="0"/>
    <n v="6"/>
    <n v="3"/>
    <n v="91.9"/>
    <n v="82.3"/>
    <n v="3"/>
    <n v="0"/>
    <n v="0"/>
    <n v="66.7"/>
    <n v="12.5"/>
    <n v="87.5"/>
    <n v="49877"/>
    <n v="50400"/>
    <n v="0.98962301587301582"/>
  </r>
  <r>
    <x v="0"/>
    <n v="4"/>
    <x v="12"/>
    <n v="1"/>
    <n v="67.099999999999994"/>
    <n v="32.9"/>
    <n v="13"/>
    <n v="7"/>
    <n v="6"/>
    <n v="5"/>
    <n v="2"/>
    <n v="1"/>
    <n v="5"/>
    <n v="1"/>
    <n v="85.5"/>
    <n v="71.7"/>
    <n v="5"/>
    <n v="0"/>
    <n v="60"/>
    <n v="57.1"/>
    <n v="62.5"/>
    <n v="37.5"/>
    <n v="57283"/>
    <n v="57704"/>
    <n v="0.9927041452932206"/>
  </r>
  <r>
    <x v="15"/>
    <n v="2"/>
    <x v="8"/>
    <n v="1"/>
    <n v="42.7"/>
    <n v="57.3"/>
    <n v="12"/>
    <n v="10"/>
    <n v="7"/>
    <n v="2"/>
    <n v="3"/>
    <n v="6"/>
    <n v="2"/>
    <n v="2"/>
    <n v="76.599999999999994"/>
    <n v="85.5"/>
    <n v="2"/>
    <n v="0"/>
    <n v="76.5"/>
    <n v="57.9"/>
    <n v="52.2"/>
    <n v="47.8"/>
    <n v="7305"/>
    <n v="9879"/>
    <n v="0.73944731248102036"/>
  </r>
  <r>
    <x v="10"/>
    <n v="3"/>
    <x v="14"/>
    <n v="3"/>
    <n v="72.2"/>
    <n v="27.8"/>
    <n v="33"/>
    <n v="7"/>
    <n v="15"/>
    <n v="5"/>
    <n v="8"/>
    <n v="1"/>
    <n v="10"/>
    <n v="1"/>
    <n v="87.1"/>
    <n v="66.099999999999994"/>
    <n v="4"/>
    <n v="2"/>
    <n v="66.7"/>
    <n v="43.8"/>
    <n v="61.5"/>
    <n v="38.5"/>
    <n v="28493"/>
    <n v="28876"/>
    <n v="0.98673639008172875"/>
  </r>
  <r>
    <x v="4"/>
    <n v="2"/>
    <x v="11"/>
    <n v="1"/>
    <n v="51"/>
    <n v="49"/>
    <n v="31"/>
    <n v="3"/>
    <n v="9"/>
    <n v="2"/>
    <n v="8"/>
    <n v="0"/>
    <n v="14"/>
    <n v="1"/>
    <n v="80"/>
    <n v="77.5"/>
    <n v="2"/>
    <n v="0"/>
    <n v="66.7"/>
    <n v="50"/>
    <n v="46.9"/>
    <n v="53.1"/>
    <n v="22143"/>
    <n v="23486"/>
    <n v="0.94281699736012947"/>
  </r>
  <r>
    <x v="19"/>
    <n v="1"/>
    <x v="0"/>
    <n v="1"/>
    <n v="27.6"/>
    <n v="72.400000000000006"/>
    <n v="17"/>
    <n v="8"/>
    <n v="7"/>
    <n v="1"/>
    <n v="7"/>
    <n v="3"/>
    <n v="3"/>
    <n v="4"/>
    <n v="68.900000000000006"/>
    <n v="85.1"/>
    <n v="0"/>
    <n v="0"/>
    <n v="53.3"/>
    <n v="42.9"/>
    <n v="51.5"/>
    <n v="48.5"/>
    <n v="26368"/>
    <n v="27445"/>
    <n v="0.96075787939515389"/>
  </r>
  <r>
    <x v="3"/>
    <n v="0"/>
    <x v="17"/>
    <n v="2"/>
    <n v="69"/>
    <n v="31"/>
    <n v="27"/>
    <n v="5"/>
    <n v="8"/>
    <n v="2"/>
    <n v="15"/>
    <n v="3"/>
    <n v="4"/>
    <n v="0"/>
    <n v="90.5"/>
    <n v="75.099999999999994"/>
    <n v="2"/>
    <n v="1"/>
    <n v="72.2"/>
    <n v="58.3"/>
    <n v="45.8"/>
    <n v="54.2"/>
    <n v="37082"/>
    <n v="37343"/>
    <n v="0.99301073829097819"/>
  </r>
  <r>
    <x v="0"/>
    <n v="4"/>
    <x v="16"/>
    <n v="1"/>
    <n v="62.2"/>
    <n v="37.799999999999997"/>
    <n v="15"/>
    <n v="9"/>
    <n v="5"/>
    <n v="5"/>
    <n v="5"/>
    <n v="1"/>
    <n v="5"/>
    <n v="3"/>
    <n v="86.7"/>
    <n v="77.900000000000006"/>
    <n v="1"/>
    <n v="1"/>
    <n v="60"/>
    <n v="55.6"/>
    <n v="62.1"/>
    <n v="37.9"/>
    <n v="57247"/>
    <n v="57704"/>
    <n v="0.99208027173159574"/>
  </r>
  <r>
    <x v="1"/>
    <n v="3"/>
    <x v="5"/>
    <n v="0"/>
    <n v="55.8"/>
    <n v="44.2"/>
    <n v="20"/>
    <n v="10"/>
    <n v="9"/>
    <n v="3"/>
    <n v="3"/>
    <n v="4"/>
    <n v="8"/>
    <n v="3"/>
    <n v="85.2"/>
    <n v="84"/>
    <n v="5"/>
    <n v="0"/>
    <n v="62.5"/>
    <n v="75"/>
    <n v="43.8"/>
    <n v="56.3"/>
    <n v="38021"/>
    <n v="39000"/>
    <n v="0.97489743589743594"/>
  </r>
  <r>
    <x v="2"/>
    <n v="1"/>
    <x v="11"/>
    <n v="1"/>
    <n v="52.9"/>
    <n v="47.1"/>
    <n v="11"/>
    <n v="14"/>
    <n v="2"/>
    <n v="1"/>
    <n v="2"/>
    <n v="6"/>
    <n v="7"/>
    <n v="7"/>
    <n v="77.3"/>
    <n v="80.099999999999994"/>
    <n v="0"/>
    <n v="1"/>
    <n v="77.3"/>
    <n v="41.7"/>
    <n v="51.6"/>
    <n v="48.4"/>
    <n v="14006"/>
    <n v="15250"/>
    <n v="0.91842622950819675"/>
  </r>
  <r>
    <x v="9"/>
    <n v="3"/>
    <x v="6"/>
    <n v="3"/>
    <n v="50.4"/>
    <n v="49.6"/>
    <n v="19"/>
    <n v="17"/>
    <n v="7"/>
    <n v="3"/>
    <n v="7"/>
    <n v="9"/>
    <n v="5"/>
    <n v="5"/>
    <n v="84.9"/>
    <n v="83.8"/>
    <n v="2"/>
    <n v="2"/>
    <n v="76.900000000000006"/>
    <n v="68.400000000000006"/>
    <n v="41.7"/>
    <n v="58.3"/>
    <n v="27157"/>
    <n v="29384"/>
    <n v="0.9242104546692077"/>
  </r>
  <r>
    <x v="18"/>
    <n v="2"/>
    <x v="12"/>
    <n v="4"/>
    <n v="65.900000000000006"/>
    <n v="34.1"/>
    <n v="23"/>
    <n v="11"/>
    <n v="8"/>
    <n v="4"/>
    <n v="9"/>
    <n v="5"/>
    <n v="6"/>
    <n v="2"/>
    <n v="83.1"/>
    <n v="67.7"/>
    <n v="4"/>
    <n v="2"/>
    <n v="71.400000000000006"/>
    <n v="66.7"/>
    <n v="59.3"/>
    <n v="40.700000000000003"/>
    <n v="28570"/>
    <n v="29050"/>
    <n v="0.9834767641996558"/>
  </r>
  <r>
    <x v="3"/>
    <n v="2"/>
    <x v="18"/>
    <n v="2"/>
    <n v="68.900000000000006"/>
    <n v="31.1"/>
    <n v="20"/>
    <n v="12"/>
    <n v="7"/>
    <n v="3"/>
    <n v="3"/>
    <n v="4"/>
    <n v="10"/>
    <n v="5"/>
    <n v="83.9"/>
    <n v="67.099999999999994"/>
    <n v="0"/>
    <n v="3"/>
    <n v="73.3"/>
    <n v="65"/>
    <n v="67.900000000000006"/>
    <n v="32.1"/>
    <n v="37025"/>
    <n v="37343"/>
    <n v="0.99148434780280104"/>
  </r>
  <r>
    <x v="19"/>
    <n v="1"/>
    <x v="3"/>
    <n v="2"/>
    <n v="38.4"/>
    <n v="61.6"/>
    <n v="5"/>
    <n v="15"/>
    <n v="3"/>
    <n v="4"/>
    <n v="2"/>
    <n v="5"/>
    <n v="0"/>
    <n v="6"/>
    <n v="67.400000000000006"/>
    <n v="79.7"/>
    <n v="0"/>
    <n v="2"/>
    <n v="75"/>
    <n v="73.3"/>
    <n v="34.200000000000003"/>
    <n v="65.8"/>
    <n v="26362"/>
    <n v="27445"/>
    <n v="0.9605392603388595"/>
  </r>
  <r>
    <x v="10"/>
    <n v="1"/>
    <x v="16"/>
    <n v="0"/>
    <n v="57.1"/>
    <n v="42.9"/>
    <n v="11"/>
    <n v="11"/>
    <n v="5"/>
    <n v="3"/>
    <n v="5"/>
    <n v="6"/>
    <n v="1"/>
    <n v="2"/>
    <n v="84.3"/>
    <n v="80.2"/>
    <n v="0"/>
    <n v="2"/>
    <n v="55"/>
    <n v="73.3"/>
    <n v="76.900000000000006"/>
    <n v="23.1"/>
    <n v="27933"/>
    <n v="28876"/>
    <n v="0.9673431223161103"/>
  </r>
  <r>
    <x v="9"/>
    <n v="0"/>
    <x v="14"/>
    <n v="2"/>
    <n v="66.400000000000006"/>
    <n v="33.6"/>
    <n v="7"/>
    <n v="11"/>
    <n v="1"/>
    <n v="5"/>
    <n v="3"/>
    <n v="2"/>
    <n v="3"/>
    <n v="4"/>
    <n v="82.4"/>
    <n v="64.400000000000006"/>
    <n v="0"/>
    <n v="3"/>
    <n v="37.5"/>
    <n v="55"/>
    <n v="41.5"/>
    <n v="58.5"/>
    <n v="27438"/>
    <n v="29384"/>
    <n v="0.93377348216716582"/>
  </r>
  <r>
    <x v="16"/>
    <n v="0"/>
    <x v="19"/>
    <n v="3"/>
    <n v="44.7"/>
    <n v="55.3"/>
    <n v="12"/>
    <n v="15"/>
    <n v="2"/>
    <n v="7"/>
    <n v="6"/>
    <n v="3"/>
    <n v="4"/>
    <n v="5"/>
    <n v="82.7"/>
    <n v="86.5"/>
    <n v="0"/>
    <n v="4"/>
    <n v="57.1"/>
    <n v="70"/>
    <n v="59.3"/>
    <n v="40.700000000000003"/>
    <n v="21426"/>
    <n v="25700"/>
    <n v="0.83369649805447466"/>
  </r>
  <r>
    <x v="8"/>
    <n v="0"/>
    <x v="13"/>
    <n v="0"/>
    <n v="46.7"/>
    <n v="53.3"/>
    <n v="10"/>
    <n v="17"/>
    <n v="4"/>
    <n v="4"/>
    <n v="3"/>
    <n v="4"/>
    <n v="3"/>
    <n v="9"/>
    <n v="78"/>
    <n v="84.5"/>
    <n v="2"/>
    <n v="1"/>
    <n v="43.5"/>
    <n v="78.599999999999994"/>
    <n v="68.8"/>
    <n v="31.3"/>
    <n v="70439"/>
    <n v="71310"/>
    <n v="0.98778572430234191"/>
  </r>
  <r>
    <x v="12"/>
    <n v="1"/>
    <x v="17"/>
    <n v="1"/>
    <n v="40.799999999999997"/>
    <n v="59.2"/>
    <n v="17"/>
    <n v="12"/>
    <n v="6"/>
    <n v="4"/>
    <n v="8"/>
    <n v="4"/>
    <n v="3"/>
    <n v="4"/>
    <n v="82.4"/>
    <n v="87"/>
    <n v="2"/>
    <n v="3"/>
    <n v="55.6"/>
    <n v="66.7"/>
    <n v="60"/>
    <n v="40"/>
    <n v="59472"/>
    <n v="65013"/>
    <n v="0.91477089197545103"/>
  </r>
  <r>
    <x v="11"/>
    <n v="2"/>
    <x v="0"/>
    <n v="1"/>
    <n v="42.1"/>
    <n v="57.9"/>
    <n v="19"/>
    <n v="7"/>
    <n v="8"/>
    <n v="4"/>
    <n v="3"/>
    <n v="3"/>
    <n v="8"/>
    <n v="0"/>
    <n v="78.8"/>
    <n v="81.2"/>
    <n v="3"/>
    <n v="0"/>
    <n v="46.2"/>
    <n v="60"/>
    <n v="52.2"/>
    <n v="47.8"/>
    <n v="49240"/>
    <n v="49350"/>
    <n v="0.99777102330293821"/>
  </r>
  <r>
    <x v="15"/>
    <n v="1"/>
    <x v="9"/>
    <n v="0"/>
    <n v="30.7"/>
    <n v="69.3"/>
    <n v="5"/>
    <n v="15"/>
    <n v="2"/>
    <n v="6"/>
    <n v="3"/>
    <n v="8"/>
    <n v="0"/>
    <n v="1"/>
    <n v="65.5"/>
    <n v="83.4"/>
    <n v="2"/>
    <n v="3"/>
    <n v="63.6"/>
    <n v="68.2"/>
    <n v="54.8"/>
    <n v="45.2"/>
    <n v="7536"/>
    <n v="9879"/>
    <n v="0.76283024597631344"/>
  </r>
  <r>
    <x v="5"/>
    <n v="1"/>
    <x v="14"/>
    <n v="0"/>
    <n v="33.299999999999997"/>
    <n v="66.7"/>
    <n v="13"/>
    <n v="12"/>
    <n v="6"/>
    <n v="4"/>
    <n v="6"/>
    <n v="6"/>
    <n v="1"/>
    <n v="2"/>
    <n v="62.6"/>
    <n v="77.400000000000006"/>
    <n v="1"/>
    <n v="3"/>
    <n v="56"/>
    <n v="81.8"/>
    <n v="43.9"/>
    <n v="56.1"/>
    <n v="36036"/>
    <n v="36572"/>
    <n v="0.98534397900032811"/>
  </r>
  <r>
    <x v="6"/>
    <n v="2"/>
    <x v="1"/>
    <n v="2"/>
    <n v="38"/>
    <n v="62"/>
    <n v="12"/>
    <n v="15"/>
    <n v="4"/>
    <n v="3"/>
    <n v="3"/>
    <n v="8"/>
    <n v="5"/>
    <n v="4"/>
    <n v="82"/>
    <n v="86.1"/>
    <n v="0"/>
    <n v="2"/>
    <n v="71.400000000000006"/>
    <n v="54.2"/>
    <n v="29.4"/>
    <n v="70.599999999999994"/>
    <n v="33471"/>
    <n v="35220"/>
    <n v="0.95034071550255539"/>
  </r>
  <r>
    <x v="7"/>
    <n v="1"/>
    <x v="10"/>
    <n v="3"/>
    <n v="48.4"/>
    <n v="51.6"/>
    <n v="17"/>
    <n v="12"/>
    <n v="7"/>
    <n v="6"/>
    <n v="4"/>
    <n v="3"/>
    <n v="6"/>
    <n v="3"/>
    <n v="83"/>
    <n v="84.4"/>
    <n v="3"/>
    <n v="2"/>
    <n v="73.3"/>
    <n v="58.3"/>
    <n v="65.5"/>
    <n v="34.5"/>
    <n v="29170"/>
    <n v="29261"/>
    <n v="0.99689005843956124"/>
  </r>
  <r>
    <x v="14"/>
    <n v="3"/>
    <x v="4"/>
    <n v="1"/>
    <n v="55.2"/>
    <n v="44.8"/>
    <n v="15"/>
    <n v="9"/>
    <n v="7"/>
    <n v="5"/>
    <n v="3"/>
    <n v="2"/>
    <n v="5"/>
    <n v="2"/>
    <n v="87.1"/>
    <n v="81.3"/>
    <n v="0"/>
    <n v="1"/>
    <n v="60"/>
    <n v="87.5"/>
    <n v="60.7"/>
    <n v="39.299999999999997"/>
    <n v="58460"/>
    <n v="59850"/>
    <n v="0.97677527151211363"/>
  </r>
  <r>
    <x v="4"/>
    <n v="0"/>
    <x v="2"/>
    <n v="1"/>
    <n v="32.200000000000003"/>
    <n v="67.8"/>
    <n v="4"/>
    <n v="14"/>
    <n v="0"/>
    <n v="4"/>
    <n v="0"/>
    <n v="5"/>
    <n v="4"/>
    <n v="5"/>
    <n v="75.2"/>
    <n v="87.3"/>
    <n v="0"/>
    <n v="2"/>
    <n v="72.7"/>
    <n v="50"/>
    <n v="42.9"/>
    <n v="57.1"/>
    <n v="22844"/>
    <n v="23486"/>
    <n v="0.9726645661244997"/>
  </r>
  <r>
    <x v="2"/>
    <n v="3"/>
    <x v="8"/>
    <n v="2"/>
    <n v="36.200000000000003"/>
    <n v="63.8"/>
    <n v="14"/>
    <n v="9"/>
    <n v="6"/>
    <n v="5"/>
    <n v="7"/>
    <n v="4"/>
    <n v="1"/>
    <n v="0"/>
    <n v="66.8"/>
    <n v="82.8"/>
    <n v="3"/>
    <n v="0"/>
    <n v="68.2"/>
    <n v="58.3"/>
    <n v="69.2"/>
    <n v="30.8"/>
    <n v="14025"/>
    <n v="15250"/>
    <n v="0.91967213114754098"/>
  </r>
  <r>
    <x v="19"/>
    <n v="2"/>
    <x v="18"/>
    <n v="2"/>
    <n v="57.1"/>
    <n v="42.9"/>
    <n v="10"/>
    <n v="10"/>
    <n v="4"/>
    <n v="3"/>
    <n v="2"/>
    <n v="2"/>
    <n v="4"/>
    <n v="5"/>
    <n v="76.7"/>
    <n v="66.5"/>
    <n v="0"/>
    <n v="2"/>
    <n v="70.8"/>
    <n v="61.9"/>
    <n v="41.2"/>
    <n v="58.8"/>
    <n v="26353"/>
    <n v="27445"/>
    <n v="0.96021133175441797"/>
  </r>
  <r>
    <x v="17"/>
    <n v="7"/>
    <x v="15"/>
    <n v="0"/>
    <n v="59.6"/>
    <n v="40.4"/>
    <n v="18"/>
    <n v="8"/>
    <n v="8"/>
    <n v="4"/>
    <n v="5"/>
    <n v="3"/>
    <n v="5"/>
    <n v="1"/>
    <n v="78"/>
    <n v="71"/>
    <n v="6"/>
    <n v="2"/>
    <n v="82.4"/>
    <n v="66.7"/>
    <n v="42.9"/>
    <n v="57.1"/>
    <n v="50001"/>
    <n v="58000"/>
    <n v="0.86208620689655169"/>
  </r>
  <r>
    <x v="13"/>
    <n v="2"/>
    <x v="3"/>
    <n v="0"/>
    <n v="56.3"/>
    <n v="43.7"/>
    <n v="11"/>
    <n v="5"/>
    <n v="3"/>
    <n v="2"/>
    <n v="6"/>
    <n v="1"/>
    <n v="2"/>
    <n v="2"/>
    <n v="86.5"/>
    <n v="80.7"/>
    <n v="2"/>
    <n v="1"/>
    <n v="46.2"/>
    <n v="63.6"/>
    <n v="56.3"/>
    <n v="43.8"/>
    <n v="50419"/>
    <n v="50400"/>
    <n v="1.0003769841269841"/>
  </r>
  <r>
    <x v="0"/>
    <n v="3"/>
    <x v="5"/>
    <n v="2"/>
    <n v="80.099999999999994"/>
    <n v="19.899999999999999"/>
    <n v="31"/>
    <n v="4"/>
    <n v="9"/>
    <n v="4"/>
    <n v="10"/>
    <n v="0"/>
    <n v="12"/>
    <n v="0"/>
    <n v="88.6"/>
    <n v="57.6"/>
    <n v="1"/>
    <n v="2"/>
    <n v="58.8"/>
    <n v="75"/>
    <n v="55.9"/>
    <n v="44.1"/>
    <n v="57222"/>
    <n v="57704"/>
    <n v="0.99164702620268963"/>
  </r>
  <r>
    <x v="1"/>
    <n v="1"/>
    <x v="16"/>
    <n v="0"/>
    <n v="58.1"/>
    <n v="41.9"/>
    <n v="8"/>
    <n v="3"/>
    <n v="1"/>
    <n v="0"/>
    <n v="4"/>
    <n v="2"/>
    <n v="3"/>
    <n v="1"/>
    <n v="87.8"/>
    <n v="83.8"/>
    <n v="1"/>
    <n v="0"/>
    <n v="61.5"/>
    <n v="59.1"/>
    <n v="66.7"/>
    <n v="33.299999999999997"/>
    <n v="38893"/>
    <n v="39000"/>
    <n v="0.99725641025641021"/>
  </r>
  <r>
    <x v="10"/>
    <n v="4"/>
    <x v="7"/>
    <n v="0"/>
    <n v="65.8"/>
    <n v="34.200000000000003"/>
    <n v="20"/>
    <n v="3"/>
    <n v="9"/>
    <n v="2"/>
    <n v="7"/>
    <n v="0"/>
    <n v="4"/>
    <n v="1"/>
    <n v="90.5"/>
    <n v="78.8"/>
    <n v="2"/>
    <n v="0"/>
    <n v="50"/>
    <n v="45.5"/>
    <n v="57.1"/>
    <n v="42.9"/>
    <n v="28523"/>
    <n v="28876"/>
    <n v="0.98777531514060124"/>
  </r>
  <r>
    <x v="3"/>
    <n v="1"/>
    <x v="12"/>
    <n v="0"/>
    <n v="57.2"/>
    <n v="42.8"/>
    <n v="13"/>
    <n v="11"/>
    <n v="3"/>
    <n v="2"/>
    <n v="8"/>
    <n v="6"/>
    <n v="2"/>
    <n v="3"/>
    <n v="87.6"/>
    <n v="79.3"/>
    <n v="3"/>
    <n v="0"/>
    <n v="65.400000000000006"/>
    <n v="65.2"/>
    <n v="46.7"/>
    <n v="53.3"/>
    <n v="36905"/>
    <n v="37343"/>
    <n v="0.98827089414348068"/>
  </r>
  <r>
    <x v="18"/>
    <n v="1"/>
    <x v="6"/>
    <n v="0"/>
    <n v="46.5"/>
    <n v="53.5"/>
    <n v="8"/>
    <n v="21"/>
    <n v="5"/>
    <n v="6"/>
    <n v="3"/>
    <n v="6"/>
    <n v="0"/>
    <n v="9"/>
    <n v="81.5"/>
    <n v="85.8"/>
    <n v="2"/>
    <n v="2"/>
    <n v="50"/>
    <n v="60"/>
    <n v="47.4"/>
    <n v="52.6"/>
    <n v="28585"/>
    <n v="29050"/>
    <n v="0.98399311531841649"/>
  </r>
  <r>
    <x v="9"/>
    <n v="1"/>
    <x v="11"/>
    <n v="0"/>
    <n v="34.9"/>
    <n v="65.099999999999994"/>
    <n v="11"/>
    <n v="11"/>
    <n v="5"/>
    <n v="0"/>
    <n v="2"/>
    <n v="7"/>
    <n v="4"/>
    <n v="4"/>
    <n v="68.8"/>
    <n v="79"/>
    <n v="0"/>
    <n v="3"/>
    <n v="42.9"/>
    <n v="63.6"/>
    <n v="31.6"/>
    <n v="68.400000000000006"/>
    <n v="27139"/>
    <n v="29384"/>
    <n v="0.92359787639531721"/>
  </r>
  <r>
    <x v="0"/>
    <n v="4"/>
    <x v="18"/>
    <n v="0"/>
    <n v="73.099999999999994"/>
    <n v="26.9"/>
    <n v="15"/>
    <n v="8"/>
    <n v="5"/>
    <n v="5"/>
    <n v="5"/>
    <n v="2"/>
    <n v="5"/>
    <n v="1"/>
    <n v="87.6"/>
    <n v="67.5"/>
    <n v="4"/>
    <n v="1"/>
    <n v="100"/>
    <n v="66.7"/>
    <n v="42.3"/>
    <n v="57.7"/>
    <n v="57213"/>
    <n v="57704"/>
    <n v="0.99149105781228342"/>
  </r>
  <r>
    <x v="17"/>
    <n v="2"/>
    <x v="0"/>
    <n v="0"/>
    <n v="56.8"/>
    <n v="43.2"/>
    <n v="15"/>
    <n v="4"/>
    <n v="6"/>
    <n v="1"/>
    <n v="6"/>
    <n v="2"/>
    <n v="3"/>
    <n v="1"/>
    <n v="83.1"/>
    <n v="80.099999999999994"/>
    <n v="3"/>
    <n v="1"/>
    <n v="83.3"/>
    <n v="57.1"/>
    <n v="42.9"/>
    <n v="57.1"/>
    <n v="50259"/>
    <n v="58000"/>
    <n v="0.86653448275862066"/>
  </r>
  <r>
    <x v="14"/>
    <n v="2"/>
    <x v="10"/>
    <n v="0"/>
    <n v="41.2"/>
    <n v="58.8"/>
    <n v="8"/>
    <n v="10"/>
    <n v="3"/>
    <n v="2"/>
    <n v="4"/>
    <n v="5"/>
    <n v="1"/>
    <n v="3"/>
    <n v="82.2"/>
    <n v="89.3"/>
    <n v="1"/>
    <n v="0"/>
    <n v="59.3"/>
    <n v="78.900000000000006"/>
    <n v="60.7"/>
    <n v="39.299999999999997"/>
    <n v="58613"/>
    <n v="59850"/>
    <n v="0.97933166248955728"/>
  </r>
  <r>
    <x v="5"/>
    <n v="0"/>
    <x v="17"/>
    <n v="2"/>
    <n v="46.5"/>
    <n v="53.5"/>
    <n v="15"/>
    <n v="9"/>
    <n v="5"/>
    <n v="5"/>
    <n v="7"/>
    <n v="4"/>
    <n v="3"/>
    <n v="0"/>
    <n v="78.5"/>
    <n v="79.2"/>
    <n v="0"/>
    <n v="3"/>
    <n v="50"/>
    <n v="50"/>
    <n v="48.6"/>
    <n v="51.4"/>
    <n v="36309"/>
    <n v="36572"/>
    <n v="0.99280870611396699"/>
  </r>
  <r>
    <x v="6"/>
    <n v="1"/>
    <x v="13"/>
    <n v="0"/>
    <n v="60.6"/>
    <n v="39.4"/>
    <n v="14"/>
    <n v="8"/>
    <n v="4"/>
    <n v="2"/>
    <n v="6"/>
    <n v="3"/>
    <n v="4"/>
    <n v="3"/>
    <n v="84.6"/>
    <n v="77.7"/>
    <n v="0"/>
    <n v="0"/>
    <n v="65.2"/>
    <n v="55.6"/>
    <n v="52.2"/>
    <n v="47.8"/>
    <n v="33641"/>
    <n v="35220"/>
    <n v="0.95516751845542303"/>
  </r>
  <r>
    <x v="7"/>
    <n v="0"/>
    <x v="19"/>
    <n v="1"/>
    <n v="34.1"/>
    <n v="65.900000000000006"/>
    <n v="1"/>
    <n v="10"/>
    <n v="0"/>
    <n v="2"/>
    <n v="1"/>
    <n v="3"/>
    <n v="0"/>
    <n v="5"/>
    <n v="68.900000000000006"/>
    <n v="82.4"/>
    <n v="0"/>
    <n v="1"/>
    <n v="66.7"/>
    <n v="54.5"/>
    <n v="47.1"/>
    <n v="52.9"/>
    <n v="29227"/>
    <n v="29261"/>
    <n v="0.99883804381258334"/>
  </r>
  <r>
    <x v="12"/>
    <n v="4"/>
    <x v="4"/>
    <n v="0"/>
    <n v="49.1"/>
    <n v="50.9"/>
    <n v="18"/>
    <n v="8"/>
    <n v="5"/>
    <n v="3"/>
    <n v="8"/>
    <n v="3"/>
    <n v="5"/>
    <n v="2"/>
    <n v="78"/>
    <n v="78.2"/>
    <n v="4"/>
    <n v="0"/>
    <n v="69.2"/>
    <n v="60"/>
    <n v="52.1"/>
    <n v="47.9"/>
    <n v="59469"/>
    <n v="65013"/>
    <n v="0.91472474735822062"/>
  </r>
  <r>
    <x v="15"/>
    <n v="1"/>
    <x v="2"/>
    <n v="4"/>
    <n v="34"/>
    <n v="66"/>
    <n v="13"/>
    <n v="20"/>
    <n v="2"/>
    <n v="5"/>
    <n v="5"/>
    <n v="8"/>
    <n v="6"/>
    <n v="7"/>
    <n v="83"/>
    <n v="90.1"/>
    <n v="0"/>
    <n v="1"/>
    <n v="53.3"/>
    <n v="65.400000000000006"/>
    <n v="52.6"/>
    <n v="47.4"/>
    <n v="7481"/>
    <n v="9879"/>
    <n v="0.75726288085838644"/>
  </r>
  <r>
    <x v="4"/>
    <n v="0"/>
    <x v="9"/>
    <n v="0"/>
    <n v="36.200000000000003"/>
    <n v="63.8"/>
    <n v="6"/>
    <n v="12"/>
    <n v="0"/>
    <n v="4"/>
    <n v="4"/>
    <n v="5"/>
    <n v="2"/>
    <n v="3"/>
    <n v="74.5"/>
    <n v="84.5"/>
    <n v="2"/>
    <n v="2"/>
    <n v="68.8"/>
    <n v="64.3"/>
    <n v="50"/>
    <n v="50"/>
    <n v="22842"/>
    <n v="23486"/>
    <n v="0.97257940900962281"/>
  </r>
  <r>
    <x v="16"/>
    <n v="1"/>
    <x v="0"/>
    <n v="1"/>
    <n v="50.5"/>
    <n v="49.5"/>
    <n v="10"/>
    <n v="8"/>
    <n v="5"/>
    <n v="2"/>
    <n v="2"/>
    <n v="5"/>
    <n v="3"/>
    <n v="1"/>
    <n v="81.3"/>
    <n v="76.2"/>
    <n v="2"/>
    <n v="1"/>
    <n v="55"/>
    <n v="73.7"/>
    <n v="36.700000000000003"/>
    <n v="63.3"/>
    <n v="21399"/>
    <n v="25700"/>
    <n v="0.83264591439688718"/>
  </r>
  <r>
    <x v="8"/>
    <n v="3"/>
    <x v="11"/>
    <n v="0"/>
    <n v="56.9"/>
    <n v="43.1"/>
    <n v="26"/>
    <n v="19"/>
    <n v="8"/>
    <n v="3"/>
    <n v="9"/>
    <n v="9"/>
    <n v="9"/>
    <n v="7"/>
    <n v="84.6"/>
    <n v="81.099999999999994"/>
    <n v="6"/>
    <n v="2"/>
    <n v="69.599999999999994"/>
    <n v="53.8"/>
    <n v="69.599999999999994"/>
    <n v="30.4"/>
    <n v="70578"/>
    <n v="71310"/>
    <n v="0.98973496003365591"/>
  </r>
  <r>
    <x v="14"/>
    <n v="2"/>
    <x v="7"/>
    <n v="0"/>
    <n v="57"/>
    <n v="43"/>
    <n v="16"/>
    <n v="6"/>
    <n v="6"/>
    <n v="1"/>
    <n v="4"/>
    <n v="4"/>
    <n v="6"/>
    <n v="1"/>
    <n v="84.6"/>
    <n v="74.900000000000006"/>
    <n v="2"/>
    <n v="0"/>
    <n v="68.400000000000006"/>
    <n v="61.1"/>
    <n v="48.7"/>
    <n v="51.3"/>
    <n v="58476"/>
    <n v="59850"/>
    <n v="0.97704260651629071"/>
  </r>
  <r>
    <x v="1"/>
    <n v="2"/>
    <x v="19"/>
    <n v="4"/>
    <n v="33.4"/>
    <n v="66.599999999999994"/>
    <n v="7"/>
    <n v="20"/>
    <n v="5"/>
    <n v="5"/>
    <n v="1"/>
    <n v="8"/>
    <n v="1"/>
    <n v="7"/>
    <n v="76.8"/>
    <n v="85.6"/>
    <n v="0"/>
    <n v="5"/>
    <n v="72"/>
    <n v="55.6"/>
    <n v="48"/>
    <n v="52"/>
    <n v="39066"/>
    <n v="39000"/>
    <n v="1.0016923076923077"/>
  </r>
  <r>
    <x v="2"/>
    <n v="1"/>
    <x v="16"/>
    <n v="1"/>
    <n v="58.7"/>
    <n v="41.3"/>
    <n v="12"/>
    <n v="10"/>
    <n v="5"/>
    <n v="4"/>
    <n v="6"/>
    <n v="3"/>
    <n v="1"/>
    <n v="3"/>
    <n v="82.4"/>
    <n v="77.8"/>
    <n v="1"/>
    <n v="1"/>
    <n v="50"/>
    <n v="60"/>
    <n v="60"/>
    <n v="40"/>
    <n v="14122"/>
    <n v="15250"/>
    <n v="0.92603278688524593"/>
  </r>
  <r>
    <x v="10"/>
    <n v="0"/>
    <x v="8"/>
    <n v="1"/>
    <n v="65.3"/>
    <n v="34.700000000000003"/>
    <n v="21"/>
    <n v="5"/>
    <n v="7"/>
    <n v="2"/>
    <n v="10"/>
    <n v="0"/>
    <n v="4"/>
    <n v="3"/>
    <n v="87.7"/>
    <n v="73.099999999999994"/>
    <n v="5"/>
    <n v="0"/>
    <n v="40"/>
    <n v="38.5"/>
    <n v="59.3"/>
    <n v="40.700000000000003"/>
    <n v="28619"/>
    <n v="28876"/>
    <n v="0.99109987532899291"/>
  </r>
  <r>
    <x v="3"/>
    <n v="0"/>
    <x v="13"/>
    <n v="1"/>
    <n v="61.3"/>
    <n v="38.700000000000003"/>
    <n v="17"/>
    <n v="8"/>
    <n v="5"/>
    <n v="5"/>
    <n v="5"/>
    <n v="3"/>
    <n v="7"/>
    <n v="0"/>
    <n v="85.9"/>
    <n v="75.3"/>
    <n v="2"/>
    <n v="0"/>
    <n v="76.5"/>
    <n v="71"/>
    <n v="52"/>
    <n v="48"/>
    <n v="37152"/>
    <n v="37343"/>
    <n v="0.99488525292558172"/>
  </r>
  <r>
    <x v="5"/>
    <n v="1"/>
    <x v="12"/>
    <n v="0"/>
    <n v="50"/>
    <n v="50"/>
    <n v="15"/>
    <n v="8"/>
    <n v="6"/>
    <n v="0"/>
    <n v="7"/>
    <n v="4"/>
    <n v="2"/>
    <n v="4"/>
    <n v="73.400000000000006"/>
    <n v="69"/>
    <n v="2"/>
    <n v="1"/>
    <n v="56.5"/>
    <n v="58.3"/>
    <n v="47.4"/>
    <n v="52.6"/>
    <n v="36232"/>
    <n v="36572"/>
    <n v="0.99070327026140215"/>
  </r>
  <r>
    <x v="19"/>
    <n v="1"/>
    <x v="2"/>
    <n v="1"/>
    <n v="27"/>
    <n v="73"/>
    <n v="4"/>
    <n v="23"/>
    <n v="1"/>
    <n v="6"/>
    <n v="2"/>
    <n v="11"/>
    <n v="1"/>
    <n v="6"/>
    <n v="65.099999999999994"/>
    <n v="88"/>
    <n v="1"/>
    <n v="2"/>
    <n v="61.5"/>
    <n v="70"/>
    <n v="56.5"/>
    <n v="43.5"/>
    <n v="26365"/>
    <n v="27445"/>
    <n v="0.96064856986700675"/>
  </r>
  <r>
    <x v="18"/>
    <n v="0"/>
    <x v="5"/>
    <n v="1"/>
    <n v="68.599999999999994"/>
    <n v="31.4"/>
    <n v="15"/>
    <n v="5"/>
    <n v="4"/>
    <n v="1"/>
    <n v="5"/>
    <n v="1"/>
    <n v="6"/>
    <n v="3"/>
    <n v="84.4"/>
    <n v="67.7"/>
    <n v="0"/>
    <n v="1"/>
    <n v="68.8"/>
    <n v="44.4"/>
    <n v="44.2"/>
    <n v="55.8"/>
    <n v="28222"/>
    <n v="29050"/>
    <n v="0.97149741824440616"/>
  </r>
  <r>
    <x v="11"/>
    <n v="0"/>
    <x v="9"/>
    <n v="2"/>
    <n v="37.4"/>
    <n v="62.6"/>
    <n v="14"/>
    <n v="13"/>
    <n v="4"/>
    <n v="7"/>
    <n v="7"/>
    <n v="4"/>
    <n v="3"/>
    <n v="2"/>
    <n v="82"/>
    <n v="88.1"/>
    <n v="3"/>
    <n v="5"/>
    <n v="90"/>
    <n v="50"/>
    <n v="68.8"/>
    <n v="31.3"/>
    <n v="49758"/>
    <n v="49350"/>
    <n v="1.0082674772036475"/>
  </r>
  <r>
    <x v="0"/>
    <n v="1"/>
    <x v="2"/>
    <n v="3"/>
    <n v="63.5"/>
    <n v="36.5"/>
    <n v="10"/>
    <n v="9"/>
    <n v="1"/>
    <n v="6"/>
    <n v="4"/>
    <n v="1"/>
    <n v="5"/>
    <n v="2"/>
    <n v="83"/>
    <n v="72.3"/>
    <n v="2"/>
    <n v="4"/>
    <n v="38.5"/>
    <n v="70.599999999999994"/>
    <n v="44"/>
    <n v="56"/>
    <n v="57276"/>
    <n v="57704"/>
    <n v="0.9925828365451268"/>
  </r>
  <r>
    <x v="17"/>
    <n v="2"/>
    <x v="18"/>
    <n v="0"/>
    <n v="59.1"/>
    <n v="40.9"/>
    <n v="15"/>
    <n v="6"/>
    <n v="6"/>
    <n v="1"/>
    <n v="4"/>
    <n v="4"/>
    <n v="5"/>
    <n v="1"/>
    <n v="86.3"/>
    <n v="78.7"/>
    <n v="2"/>
    <n v="1"/>
    <n v="71.400000000000006"/>
    <n v="44.4"/>
    <n v="57.1"/>
    <n v="42.9"/>
    <n v="50027"/>
    <n v="58000"/>
    <n v="0.86253448275862066"/>
  </r>
  <r>
    <x v="6"/>
    <n v="0"/>
    <x v="15"/>
    <n v="2"/>
    <n v="33"/>
    <n v="67"/>
    <n v="16"/>
    <n v="11"/>
    <n v="6"/>
    <n v="5"/>
    <n v="4"/>
    <n v="4"/>
    <n v="6"/>
    <n v="2"/>
    <n v="67.7"/>
    <n v="81.599999999999994"/>
    <n v="1"/>
    <n v="2"/>
    <n v="56.5"/>
    <n v="70"/>
    <n v="57.1"/>
    <n v="42.9"/>
    <n v="33919"/>
    <n v="35220"/>
    <n v="0.96306076093128901"/>
  </r>
  <r>
    <x v="13"/>
    <n v="3"/>
    <x v="17"/>
    <n v="1"/>
    <n v="67.2"/>
    <n v="32.799999999999997"/>
    <n v="17"/>
    <n v="6"/>
    <n v="9"/>
    <n v="2"/>
    <n v="3"/>
    <n v="2"/>
    <n v="5"/>
    <n v="2"/>
    <n v="90"/>
    <n v="81.3"/>
    <n v="4"/>
    <n v="0"/>
    <n v="42.9"/>
    <n v="42.9"/>
    <n v="66.7"/>
    <n v="33.299999999999997"/>
    <n v="50392"/>
    <n v="50400"/>
    <n v="0.99984126984126986"/>
  </r>
  <r>
    <x v="12"/>
    <n v="1"/>
    <x v="10"/>
    <n v="1"/>
    <n v="28.2"/>
    <n v="71.8"/>
    <n v="10"/>
    <n v="12"/>
    <n v="2"/>
    <n v="4"/>
    <n v="5"/>
    <n v="4"/>
    <n v="3"/>
    <n v="4"/>
    <n v="75.7"/>
    <n v="90.5"/>
    <n v="1"/>
    <n v="1"/>
    <n v="60.9"/>
    <n v="81"/>
    <n v="45.5"/>
    <n v="54.5"/>
    <n v="59471"/>
    <n v="65013"/>
    <n v="0.91475551043637426"/>
  </r>
  <r>
    <x v="0"/>
    <n v="1"/>
    <x v="14"/>
    <n v="1"/>
    <n v="69.2"/>
    <n v="30.8"/>
    <n v="23"/>
    <n v="9"/>
    <n v="7"/>
    <n v="2"/>
    <n v="10"/>
    <n v="4"/>
    <n v="6"/>
    <n v="3"/>
    <n v="86.4"/>
    <n v="66.3"/>
    <n v="1"/>
    <n v="3"/>
    <n v="60"/>
    <n v="66.7"/>
    <n v="28.9"/>
    <n v="71.099999999999994"/>
    <n v="57254"/>
    <n v="57704"/>
    <n v="0.99220158047968943"/>
  </r>
  <r>
    <x v="4"/>
    <n v="1"/>
    <x v="1"/>
    <n v="1"/>
    <n v="25.8"/>
    <n v="74.2"/>
    <n v="6"/>
    <n v="17"/>
    <n v="1"/>
    <n v="7"/>
    <n v="2"/>
    <n v="5"/>
    <n v="3"/>
    <n v="5"/>
    <n v="70.400000000000006"/>
    <n v="89.9"/>
    <n v="0"/>
    <n v="5"/>
    <n v="73.7"/>
    <n v="56.5"/>
    <n v="38.5"/>
    <n v="61.5"/>
    <n v="21827"/>
    <n v="23486"/>
    <n v="0.92936217320957171"/>
  </r>
  <r>
    <x v="16"/>
    <n v="2"/>
    <x v="4"/>
    <n v="0"/>
    <n v="50"/>
    <n v="50"/>
    <n v="16"/>
    <n v="10"/>
    <n v="3"/>
    <n v="1"/>
    <n v="11"/>
    <n v="7"/>
    <n v="2"/>
    <n v="2"/>
    <n v="79"/>
    <n v="77"/>
    <n v="2"/>
    <n v="1"/>
    <n v="50"/>
    <n v="80"/>
    <n v="52.9"/>
    <n v="47.1"/>
    <n v="21244"/>
    <n v="25700"/>
    <n v="0.82661478599221794"/>
  </r>
  <r>
    <x v="7"/>
    <n v="4"/>
    <x v="6"/>
    <n v="1"/>
    <n v="48.9"/>
    <n v="51.1"/>
    <n v="15"/>
    <n v="11"/>
    <n v="7"/>
    <n v="4"/>
    <n v="6"/>
    <n v="6"/>
    <n v="2"/>
    <n v="1"/>
    <n v="78.400000000000006"/>
    <n v="82.7"/>
    <n v="2"/>
    <n v="0"/>
    <n v="63"/>
    <n v="60"/>
    <n v="27.8"/>
    <n v="72.2"/>
    <n v="29184"/>
    <n v="29261"/>
    <n v="0.99736851098732104"/>
  </r>
  <r>
    <x v="9"/>
    <n v="1"/>
    <x v="0"/>
    <n v="2"/>
    <n v="40.9"/>
    <n v="59.1"/>
    <n v="17"/>
    <n v="11"/>
    <n v="2"/>
    <n v="2"/>
    <n v="10"/>
    <n v="2"/>
    <n v="5"/>
    <n v="7"/>
    <n v="70.5"/>
    <n v="80.5"/>
    <n v="0"/>
    <n v="0"/>
    <n v="68.8"/>
    <n v="57.1"/>
    <n v="67.400000000000006"/>
    <n v="32.6"/>
    <n v="26751"/>
    <n v="29384"/>
    <n v="0.91039341138034302"/>
  </r>
  <r>
    <x v="15"/>
    <n v="1"/>
    <x v="3"/>
    <n v="1"/>
    <n v="33.200000000000003"/>
    <n v="66.8"/>
    <n v="11"/>
    <n v="15"/>
    <n v="5"/>
    <n v="7"/>
    <n v="5"/>
    <n v="5"/>
    <n v="1"/>
    <n v="3"/>
    <n v="66.7"/>
    <n v="81.8"/>
    <n v="2"/>
    <n v="0"/>
    <n v="55"/>
    <n v="60"/>
    <n v="51.5"/>
    <n v="48.5"/>
    <n v="7419"/>
    <n v="9879"/>
    <n v="0.75098694199817795"/>
  </r>
  <r>
    <x v="8"/>
    <n v="2"/>
    <x v="12"/>
    <n v="2"/>
    <n v="65.900000000000006"/>
    <n v="34.1"/>
    <n v="24"/>
    <n v="8"/>
    <n v="7"/>
    <n v="2"/>
    <n v="9"/>
    <n v="4"/>
    <n v="8"/>
    <n v="2"/>
    <n v="81"/>
    <n v="64.400000000000006"/>
    <n v="1"/>
    <n v="1"/>
    <n v="57.9"/>
    <n v="66.7"/>
    <n v="50"/>
    <n v="50"/>
    <n v="70456"/>
    <n v="71310"/>
    <n v="0.98802412003926521"/>
  </r>
  <r>
    <x v="19"/>
    <n v="1"/>
    <x v="12"/>
    <n v="0"/>
    <n v="30.1"/>
    <n v="69.900000000000006"/>
    <n v="6"/>
    <n v="10"/>
    <n v="2"/>
    <n v="4"/>
    <n v="2"/>
    <n v="3"/>
    <n v="2"/>
    <n v="3"/>
    <n v="54.5"/>
    <n v="74.900000000000006"/>
    <n v="0"/>
    <n v="1"/>
    <n v="65.400000000000006"/>
    <n v="73.7"/>
    <n v="48.3"/>
    <n v="51.7"/>
    <n v="26363"/>
    <n v="27445"/>
    <n v="0.96057569684824196"/>
  </r>
  <r>
    <x v="14"/>
    <n v="1"/>
    <x v="2"/>
    <n v="0"/>
    <n v="35.200000000000003"/>
    <n v="64.8"/>
    <n v="12"/>
    <n v="15"/>
    <n v="3"/>
    <n v="5"/>
    <n v="5"/>
    <n v="5"/>
    <n v="4"/>
    <n v="5"/>
    <n v="74.599999999999994"/>
    <n v="87.6"/>
    <n v="2"/>
    <n v="0"/>
    <n v="57.1"/>
    <n v="47.4"/>
    <n v="36"/>
    <n v="64"/>
    <n v="58747"/>
    <n v="59850"/>
    <n v="0.98157059314954054"/>
  </r>
  <r>
    <x v="5"/>
    <n v="1"/>
    <x v="19"/>
    <n v="0"/>
    <n v="29.5"/>
    <n v="70.5"/>
    <n v="12"/>
    <n v="15"/>
    <n v="4"/>
    <n v="3"/>
    <n v="5"/>
    <n v="7"/>
    <n v="3"/>
    <n v="5"/>
    <n v="71.400000000000006"/>
    <n v="86.5"/>
    <n v="4"/>
    <n v="0"/>
    <n v="61.1"/>
    <n v="78.599999999999994"/>
    <n v="58.6"/>
    <n v="41.4"/>
    <n v="36314"/>
    <n v="36572"/>
    <n v="0.99294542272776987"/>
  </r>
  <r>
    <x v="1"/>
    <n v="2"/>
    <x v="11"/>
    <n v="4"/>
    <n v="63.2"/>
    <n v="36.799999999999997"/>
    <n v="19"/>
    <n v="9"/>
    <n v="4"/>
    <n v="5"/>
    <n v="6"/>
    <n v="4"/>
    <n v="9"/>
    <n v="0"/>
    <n v="86.7"/>
    <n v="74.8"/>
    <n v="0"/>
    <n v="4"/>
    <n v="66.7"/>
    <n v="69.599999999999994"/>
    <n v="54.5"/>
    <n v="45.5"/>
    <n v="39055"/>
    <n v="39000"/>
    <n v="1.0014102564102565"/>
  </r>
  <r>
    <x v="2"/>
    <n v="3"/>
    <x v="13"/>
    <n v="0"/>
    <n v="48.3"/>
    <n v="51.7"/>
    <n v="14"/>
    <n v="14"/>
    <n v="4"/>
    <n v="6"/>
    <n v="6"/>
    <n v="4"/>
    <n v="4"/>
    <n v="4"/>
    <n v="69.2"/>
    <n v="75.599999999999994"/>
    <n v="3"/>
    <n v="1"/>
    <n v="53.8"/>
    <n v="66.7"/>
    <n v="44.4"/>
    <n v="55.6"/>
    <n v="14051"/>
    <n v="15250"/>
    <n v="0.92137704918032792"/>
  </r>
  <r>
    <x v="10"/>
    <n v="1"/>
    <x v="5"/>
    <n v="0"/>
    <n v="71.8"/>
    <n v="28.2"/>
    <n v="20"/>
    <n v="12"/>
    <n v="6"/>
    <n v="2"/>
    <n v="7"/>
    <n v="7"/>
    <n v="7"/>
    <n v="3"/>
    <n v="89.3"/>
    <n v="72.3"/>
    <n v="2"/>
    <n v="0"/>
    <n v="52.9"/>
    <n v="60"/>
    <n v="29.2"/>
    <n v="70.8"/>
    <n v="28600"/>
    <n v="28876"/>
    <n v="0.99044188945837375"/>
  </r>
  <r>
    <x v="8"/>
    <n v="2"/>
    <x v="16"/>
    <n v="1"/>
    <n v="53.1"/>
    <n v="46.9"/>
    <n v="14"/>
    <n v="10"/>
    <n v="5"/>
    <n v="3"/>
    <n v="5"/>
    <n v="5"/>
    <n v="4"/>
    <n v="2"/>
    <n v="85.4"/>
    <n v="80.3"/>
    <n v="0"/>
    <n v="2"/>
    <n v="57.1"/>
    <n v="56.3"/>
    <n v="57.9"/>
    <n v="42.1"/>
    <n v="70420"/>
    <n v="71310"/>
    <n v="0.98751928200813355"/>
  </r>
  <r>
    <x v="18"/>
    <n v="3"/>
    <x v="9"/>
    <n v="0"/>
    <n v="41.8"/>
    <n v="58.2"/>
    <n v="12"/>
    <n v="22"/>
    <n v="6"/>
    <n v="4"/>
    <n v="5"/>
    <n v="8"/>
    <n v="1"/>
    <n v="10"/>
    <n v="74.900000000000006"/>
    <n v="85.5"/>
    <n v="3"/>
    <n v="1"/>
    <n v="62.5"/>
    <n v="70"/>
    <n v="46.7"/>
    <n v="53.3"/>
    <n v="28664"/>
    <n v="29050"/>
    <n v="0.98671256454388989"/>
  </r>
  <r>
    <x v="11"/>
    <n v="1"/>
    <x v="7"/>
    <n v="1"/>
    <n v="62.7"/>
    <n v="37.299999999999997"/>
    <n v="8"/>
    <n v="10"/>
    <n v="2"/>
    <n v="1"/>
    <n v="3"/>
    <n v="5"/>
    <n v="3"/>
    <n v="4"/>
    <n v="80.599999999999994"/>
    <n v="69"/>
    <n v="3"/>
    <n v="1"/>
    <n v="61.5"/>
    <n v="57.9"/>
    <n v="57.1"/>
    <n v="42.9"/>
    <n v="49256"/>
    <n v="49350"/>
    <n v="0.99809523809523815"/>
  </r>
  <r>
    <x v="3"/>
    <n v="0"/>
    <x v="8"/>
    <n v="0"/>
    <n v="66.900000000000006"/>
    <n v="33.1"/>
    <n v="12"/>
    <n v="10"/>
    <n v="3"/>
    <n v="4"/>
    <n v="7"/>
    <n v="3"/>
    <n v="2"/>
    <n v="3"/>
    <n v="85.8"/>
    <n v="72.2"/>
    <n v="1"/>
    <n v="0"/>
    <n v="54.2"/>
    <n v="73.7"/>
    <n v="52"/>
    <n v="48"/>
    <n v="37041"/>
    <n v="37343"/>
    <n v="0.99191280829071049"/>
  </r>
  <r>
    <x v="16"/>
    <n v="0"/>
    <x v="6"/>
    <n v="1"/>
    <n v="52.9"/>
    <n v="47.1"/>
    <n v="10"/>
    <n v="10"/>
    <n v="5"/>
    <n v="3"/>
    <n v="4"/>
    <n v="4"/>
    <n v="1"/>
    <n v="3"/>
    <n v="82.1"/>
    <n v="78.3"/>
    <n v="1"/>
    <n v="1"/>
    <n v="52.6"/>
    <n v="52.2"/>
    <n v="30"/>
    <n v="70"/>
    <n v="21190"/>
    <n v="25700"/>
    <n v="0.82451361867704276"/>
  </r>
  <r>
    <x v="6"/>
    <n v="0"/>
    <x v="14"/>
    <n v="0"/>
    <n v="58.5"/>
    <n v="41.5"/>
    <n v="9"/>
    <n v="6"/>
    <n v="5"/>
    <n v="0"/>
    <n v="1"/>
    <n v="5"/>
    <n v="3"/>
    <n v="1"/>
    <n v="73.7"/>
    <n v="64.5"/>
    <n v="0"/>
    <n v="0"/>
    <n v="47.1"/>
    <n v="42.9"/>
    <n v="50"/>
    <n v="50"/>
    <n v="33260"/>
    <n v="35220"/>
    <n v="0.94434980124929013"/>
  </r>
  <r>
    <x v="13"/>
    <n v="3"/>
    <x v="0"/>
    <n v="0"/>
    <n v="55.3"/>
    <n v="44.7"/>
    <n v="13"/>
    <n v="10"/>
    <n v="7"/>
    <n v="1"/>
    <n v="5"/>
    <n v="5"/>
    <n v="1"/>
    <n v="4"/>
    <n v="89.6"/>
    <n v="85.6"/>
    <n v="4"/>
    <n v="0"/>
    <n v="62.5"/>
    <n v="53.3"/>
    <n v="60.9"/>
    <n v="39.1"/>
    <n v="50282"/>
    <n v="50400"/>
    <n v="0.99765873015873019"/>
  </r>
  <r>
    <x v="0"/>
    <n v="3"/>
    <x v="15"/>
    <n v="2"/>
    <n v="57.2"/>
    <n v="42.8"/>
    <n v="25"/>
    <n v="6"/>
    <n v="5"/>
    <n v="4"/>
    <n v="7"/>
    <n v="0"/>
    <n v="13"/>
    <n v="2"/>
    <n v="81.3"/>
    <n v="77.5"/>
    <n v="2"/>
    <n v="0"/>
    <n v="66.7"/>
    <n v="52.4"/>
    <n v="40.700000000000003"/>
    <n v="59.3"/>
    <n v="57325"/>
    <n v="57704"/>
    <n v="0.99343199778178293"/>
  </r>
  <r>
    <x v="17"/>
    <n v="0"/>
    <x v="10"/>
    <n v="0"/>
    <n v="47.5"/>
    <n v="52.5"/>
    <n v="15"/>
    <n v="11"/>
    <n v="3"/>
    <n v="2"/>
    <n v="6"/>
    <n v="6"/>
    <n v="6"/>
    <n v="3"/>
    <n v="78.599999999999994"/>
    <n v="80.900000000000006"/>
    <n v="1"/>
    <n v="4"/>
    <n v="72.2"/>
    <n v="38.1"/>
    <n v="40"/>
    <n v="60"/>
    <n v="50126"/>
    <n v="58000"/>
    <n v="0.86424137931034484"/>
  </r>
  <r>
    <x v="15"/>
    <n v="1"/>
    <x v="4"/>
    <n v="1"/>
    <n v="42.4"/>
    <n v="57.6"/>
    <n v="16"/>
    <n v="20"/>
    <n v="4"/>
    <n v="5"/>
    <n v="8"/>
    <n v="11"/>
    <n v="4"/>
    <n v="4"/>
    <n v="72.400000000000006"/>
    <n v="80"/>
    <n v="2"/>
    <n v="1"/>
    <n v="54.5"/>
    <n v="47.6"/>
    <n v="52.6"/>
    <n v="47.4"/>
    <n v="7248"/>
    <n v="9879"/>
    <n v="0.73367749772244151"/>
  </r>
  <r>
    <x v="7"/>
    <n v="2"/>
    <x v="1"/>
    <n v="2"/>
    <n v="36.6"/>
    <n v="63.4"/>
    <n v="9"/>
    <n v="13"/>
    <n v="2"/>
    <n v="4"/>
    <n v="2"/>
    <n v="6"/>
    <n v="5"/>
    <n v="3"/>
    <n v="79.400000000000006"/>
    <n v="88.4"/>
    <n v="0"/>
    <n v="3"/>
    <n v="68.8"/>
    <n v="54.5"/>
    <n v="60"/>
    <n v="40"/>
    <n v="29056"/>
    <n v="29261"/>
    <n v="0.99299408769351694"/>
  </r>
  <r>
    <x v="9"/>
    <n v="0"/>
    <x v="17"/>
    <n v="1"/>
    <n v="36.5"/>
    <n v="63.5"/>
    <n v="8"/>
    <n v="16"/>
    <n v="5"/>
    <n v="5"/>
    <n v="2"/>
    <n v="8"/>
    <n v="1"/>
    <n v="3"/>
    <n v="70.8"/>
    <n v="80.599999999999994"/>
    <n v="1"/>
    <n v="1"/>
    <n v="44"/>
    <n v="47.4"/>
    <n v="62.2"/>
    <n v="37.799999999999997"/>
    <n v="27158"/>
    <n v="29384"/>
    <n v="0.92424448679553495"/>
  </r>
  <r>
    <x v="12"/>
    <n v="2"/>
    <x v="18"/>
    <n v="0"/>
    <n v="32.200000000000003"/>
    <n v="67.8"/>
    <n v="11"/>
    <n v="5"/>
    <n v="4"/>
    <n v="2"/>
    <n v="3"/>
    <n v="1"/>
    <n v="4"/>
    <n v="2"/>
    <n v="79.5"/>
    <n v="87.7"/>
    <n v="2"/>
    <n v="0"/>
    <n v="52.9"/>
    <n v="52.6"/>
    <n v="48.6"/>
    <n v="51.4"/>
    <n v="59470"/>
    <n v="65013"/>
    <n v="0.9147401288972975"/>
  </r>
  <r>
    <x v="4"/>
    <n v="0"/>
    <x v="3"/>
    <n v="0"/>
    <n v="39.200000000000003"/>
    <n v="60.8"/>
    <n v="6"/>
    <n v="16"/>
    <n v="1"/>
    <n v="7"/>
    <n v="1"/>
    <n v="7"/>
    <n v="4"/>
    <n v="2"/>
    <n v="67.099999999999994"/>
    <n v="79.099999999999994"/>
    <n v="0"/>
    <n v="2"/>
    <n v="58.6"/>
    <n v="47.4"/>
    <n v="47.4"/>
    <n v="52.6"/>
    <n v="22350"/>
    <n v="23486"/>
    <n v="0.95163075874989356"/>
  </r>
  <r>
    <x v="13"/>
    <n v="4"/>
    <x v="6"/>
    <n v="2"/>
    <n v="57.9"/>
    <n v="42.1"/>
    <n v="16"/>
    <n v="9"/>
    <n v="6"/>
    <n v="3"/>
    <n v="5"/>
    <n v="4"/>
    <n v="5"/>
    <n v="2"/>
    <n v="87.7"/>
    <n v="83"/>
    <n v="3"/>
    <n v="1"/>
    <n v="73.3"/>
    <n v="56.3"/>
    <n v="50"/>
    <n v="50"/>
    <n v="50088"/>
    <n v="50400"/>
    <n v="0.99380952380952381"/>
  </r>
  <r>
    <x v="4"/>
    <n v="1"/>
    <x v="15"/>
    <n v="1"/>
    <n v="39.4"/>
    <n v="60.6"/>
    <n v="10"/>
    <n v="15"/>
    <n v="5"/>
    <n v="4"/>
    <n v="3"/>
    <n v="8"/>
    <n v="2"/>
    <n v="3"/>
    <n v="73.7"/>
    <n v="81.3"/>
    <n v="0"/>
    <n v="2"/>
    <n v="45.8"/>
    <n v="56.3"/>
    <n v="59.1"/>
    <n v="40.9"/>
    <n v="20343"/>
    <n v="23486"/>
    <n v="0.86617559397087629"/>
  </r>
  <r>
    <x v="3"/>
    <n v="1"/>
    <x v="16"/>
    <n v="0"/>
    <n v="62.5"/>
    <n v="37.5"/>
    <n v="15"/>
    <n v="10"/>
    <n v="5"/>
    <n v="5"/>
    <n v="5"/>
    <n v="2"/>
    <n v="5"/>
    <n v="3"/>
    <n v="84.6"/>
    <n v="74.3"/>
    <n v="3"/>
    <n v="0"/>
    <n v="54.5"/>
    <n v="45.8"/>
    <n v="66"/>
    <n v="34"/>
    <n v="37075"/>
    <n v="37343"/>
    <n v="0.99282328682751786"/>
  </r>
  <r>
    <x v="11"/>
    <n v="1"/>
    <x v="8"/>
    <n v="0"/>
    <n v="62.3"/>
    <n v="37.700000000000003"/>
    <n v="20"/>
    <n v="5"/>
    <n v="5"/>
    <n v="0"/>
    <n v="7"/>
    <n v="4"/>
    <n v="8"/>
    <n v="1"/>
    <n v="82.2"/>
    <n v="70"/>
    <n v="2"/>
    <n v="0"/>
    <n v="72.2"/>
    <n v="58.8"/>
    <n v="46.2"/>
    <n v="53.8"/>
    <n v="49247"/>
    <n v="49350"/>
    <n v="0.9979128672745694"/>
  </r>
  <r>
    <x v="14"/>
    <n v="0"/>
    <x v="19"/>
    <n v="2"/>
    <n v="50.6"/>
    <n v="49.4"/>
    <n v="17"/>
    <n v="14"/>
    <n v="7"/>
    <n v="5"/>
    <n v="4"/>
    <n v="5"/>
    <n v="6"/>
    <n v="4"/>
    <n v="82.6"/>
    <n v="84.2"/>
    <n v="2"/>
    <n v="2"/>
    <n v="64.7"/>
    <n v="61.5"/>
    <n v="62.9"/>
    <n v="37.1"/>
    <n v="58870"/>
    <n v="59850"/>
    <n v="0.98362573099415207"/>
  </r>
  <r>
    <x v="8"/>
    <n v="2"/>
    <x v="2"/>
    <n v="1"/>
    <n v="29.4"/>
    <n v="70.599999999999994"/>
    <n v="8"/>
    <n v="5"/>
    <n v="4"/>
    <n v="1"/>
    <n v="1"/>
    <n v="2"/>
    <n v="3"/>
    <n v="2"/>
    <n v="74.2"/>
    <n v="89.3"/>
    <n v="4"/>
    <n v="1"/>
    <n v="53.3"/>
    <n v="16.7"/>
    <n v="47.4"/>
    <n v="52.6"/>
    <n v="72546"/>
    <n v="71310"/>
    <n v="1.0173327724021877"/>
  </r>
  <r>
    <x v="10"/>
    <n v="3"/>
    <x v="9"/>
    <n v="0"/>
    <n v="60.8"/>
    <n v="39.200000000000003"/>
    <n v="16"/>
    <n v="6"/>
    <n v="9"/>
    <n v="2"/>
    <n v="3"/>
    <n v="3"/>
    <n v="4"/>
    <n v="1"/>
    <n v="88.2"/>
    <n v="83.3"/>
    <n v="2"/>
    <n v="2"/>
    <n v="56.3"/>
    <n v="63.2"/>
    <n v="58.3"/>
    <n v="41.7"/>
    <n v="28645"/>
    <n v="28876"/>
    <n v="0.99200027704668237"/>
  </r>
  <r>
    <x v="5"/>
    <n v="1"/>
    <x v="13"/>
    <n v="2"/>
    <n v="52.2"/>
    <n v="47.8"/>
    <n v="12"/>
    <n v="13"/>
    <n v="4"/>
    <n v="5"/>
    <n v="5"/>
    <n v="2"/>
    <n v="3"/>
    <n v="6"/>
    <n v="73.400000000000006"/>
    <n v="70.7"/>
    <n v="1"/>
    <n v="1"/>
    <n v="60"/>
    <n v="66.7"/>
    <n v="44.7"/>
    <n v="55.3"/>
    <n v="36305"/>
    <n v="36572"/>
    <n v="0.99269933282292466"/>
  </r>
  <r>
    <x v="19"/>
    <n v="2"/>
    <x v="11"/>
    <n v="0"/>
    <n v="38.799999999999997"/>
    <n v="61.2"/>
    <n v="15"/>
    <n v="6"/>
    <n v="5"/>
    <n v="1"/>
    <n v="4"/>
    <n v="3"/>
    <n v="6"/>
    <n v="2"/>
    <n v="75.400000000000006"/>
    <n v="82.6"/>
    <n v="3"/>
    <n v="2"/>
    <n v="42.9"/>
    <n v="58.3"/>
    <n v="54.2"/>
    <n v="45.8"/>
    <n v="26301"/>
    <n v="27445"/>
    <n v="0.95831663326653305"/>
  </r>
  <r>
    <x v="18"/>
    <n v="1"/>
    <x v="7"/>
    <n v="0"/>
    <n v="58.5"/>
    <n v="41.5"/>
    <n v="17"/>
    <n v="16"/>
    <n v="4"/>
    <n v="4"/>
    <n v="6"/>
    <n v="5"/>
    <n v="7"/>
    <n v="7"/>
    <n v="83.9"/>
    <n v="78"/>
    <n v="0"/>
    <n v="0"/>
    <n v="60"/>
    <n v="36.4"/>
    <n v="45.7"/>
    <n v="54.3"/>
    <n v="28511"/>
    <n v="29050"/>
    <n v="0.98144578313253017"/>
  </r>
  <r>
    <x v="2"/>
    <n v="2"/>
    <x v="5"/>
    <n v="0"/>
    <n v="49.9"/>
    <n v="50.1"/>
    <n v="12"/>
    <n v="7"/>
    <n v="4"/>
    <n v="2"/>
    <n v="7"/>
    <n v="3"/>
    <n v="1"/>
    <n v="2"/>
    <n v="74.400000000000006"/>
    <n v="77.7"/>
    <n v="0"/>
    <n v="0"/>
    <n v="55"/>
    <n v="57.9"/>
    <n v="47.4"/>
    <n v="52.6"/>
    <n v="14031"/>
    <n v="15250"/>
    <n v="0.92006557377049181"/>
  </r>
  <r>
    <x v="1"/>
    <n v="2"/>
    <x v="12"/>
    <n v="1"/>
    <n v="53.4"/>
    <n v="46.6"/>
    <n v="11"/>
    <n v="16"/>
    <n v="5"/>
    <n v="4"/>
    <n v="4"/>
    <n v="4"/>
    <n v="2"/>
    <n v="8"/>
    <n v="72.7"/>
    <n v="69.5"/>
    <n v="1"/>
    <n v="3"/>
    <n v="46.4"/>
    <n v="51.9"/>
    <n v="59.3"/>
    <n v="40.700000000000003"/>
    <n v="39008"/>
    <n v="39000"/>
    <n v="1.0002051282051283"/>
  </r>
  <r>
    <x v="16"/>
    <n v="2"/>
    <x v="10"/>
    <n v="1"/>
    <n v="47.4"/>
    <n v="52.6"/>
    <n v="8"/>
    <n v="20"/>
    <n v="3"/>
    <n v="10"/>
    <n v="3"/>
    <n v="3"/>
    <n v="2"/>
    <n v="7"/>
    <n v="80.599999999999994"/>
    <n v="81.599999999999994"/>
    <n v="1"/>
    <n v="3"/>
    <n v="54.5"/>
    <n v="61.1"/>
    <n v="66.7"/>
    <n v="33.299999999999997"/>
    <n v="21460"/>
    <n v="25700"/>
    <n v="0.83501945525291832"/>
  </r>
  <r>
    <x v="3"/>
    <n v="0"/>
    <x v="2"/>
    <n v="1"/>
    <n v="47.7"/>
    <n v="52.3"/>
    <n v="8"/>
    <n v="12"/>
    <n v="2"/>
    <n v="3"/>
    <n v="3"/>
    <n v="6"/>
    <n v="3"/>
    <n v="3"/>
    <n v="85.2"/>
    <n v="89.5"/>
    <n v="0"/>
    <n v="3"/>
    <n v="39.299999999999997"/>
    <n v="68.400000000000006"/>
    <n v="40"/>
    <n v="60"/>
    <n v="36998"/>
    <n v="37343"/>
    <n v="0.990761320729454"/>
  </r>
  <r>
    <x v="9"/>
    <n v="0"/>
    <x v="4"/>
    <n v="1"/>
    <n v="62.5"/>
    <n v="37.5"/>
    <n v="8"/>
    <n v="11"/>
    <n v="0"/>
    <n v="1"/>
    <n v="6"/>
    <n v="9"/>
    <n v="2"/>
    <n v="1"/>
    <n v="78"/>
    <n v="63.6"/>
    <n v="1"/>
    <n v="2"/>
    <n v="50"/>
    <n v="50"/>
    <n v="45.5"/>
    <n v="54.5"/>
    <n v="27150"/>
    <n v="29384"/>
    <n v="0.923972229784917"/>
  </r>
  <r>
    <x v="6"/>
    <n v="2"/>
    <x v="7"/>
    <n v="2"/>
    <n v="63.3"/>
    <n v="36.700000000000003"/>
    <n v="14"/>
    <n v="15"/>
    <n v="6"/>
    <n v="2"/>
    <n v="6"/>
    <n v="11"/>
    <n v="2"/>
    <n v="2"/>
    <n v="79.400000000000006"/>
    <n v="62.5"/>
    <n v="1"/>
    <n v="0"/>
    <n v="68.400000000000006"/>
    <n v="47.4"/>
    <n v="47.9"/>
    <n v="52.1"/>
    <n v="33173"/>
    <n v="35220"/>
    <n v="0.9418796138557638"/>
  </r>
  <r>
    <x v="1"/>
    <n v="1"/>
    <x v="0"/>
    <n v="1"/>
    <n v="55.9"/>
    <n v="44.1"/>
    <n v="13"/>
    <n v="10"/>
    <n v="4"/>
    <n v="3"/>
    <n v="3"/>
    <n v="4"/>
    <n v="6"/>
    <n v="3"/>
    <n v="87.6"/>
    <n v="83.8"/>
    <n v="2"/>
    <n v="0"/>
    <n v="45.5"/>
    <n v="58.6"/>
    <n v="40.9"/>
    <n v="59.1"/>
    <n v="36978"/>
    <n v="39000"/>
    <n v="0.94815384615384612"/>
  </r>
  <r>
    <x v="4"/>
    <n v="0"/>
    <x v="6"/>
    <n v="4"/>
    <n v="46.7"/>
    <n v="53.3"/>
    <n v="19"/>
    <n v="14"/>
    <n v="4"/>
    <n v="6"/>
    <n v="9"/>
    <n v="3"/>
    <n v="6"/>
    <n v="5"/>
    <n v="82"/>
    <n v="86.2"/>
    <n v="0"/>
    <n v="2"/>
    <n v="59.1"/>
    <n v="63.6"/>
    <n v="29.6"/>
    <n v="70.400000000000006"/>
    <n v="22132"/>
    <n v="23486"/>
    <n v="0.9423486332283062"/>
  </r>
  <r>
    <x v="0"/>
    <n v="0"/>
    <x v="3"/>
    <n v="0"/>
    <n v="66.8"/>
    <n v="33.200000000000003"/>
    <n v="17"/>
    <n v="8"/>
    <n v="4"/>
    <n v="1"/>
    <n v="8"/>
    <n v="5"/>
    <n v="5"/>
    <n v="2"/>
    <n v="85.8"/>
    <n v="71.5"/>
    <n v="0"/>
    <n v="2"/>
    <n v="61.5"/>
    <n v="69.599999999999994"/>
    <n v="42.9"/>
    <n v="57.1"/>
    <n v="57319"/>
    <n v="57704"/>
    <n v="0.99332801885484545"/>
  </r>
  <r>
    <x v="7"/>
    <n v="0"/>
    <x v="8"/>
    <n v="1"/>
    <n v="61.4"/>
    <n v="38.6"/>
    <n v="15"/>
    <n v="11"/>
    <n v="6"/>
    <n v="2"/>
    <n v="6"/>
    <n v="7"/>
    <n v="3"/>
    <n v="2"/>
    <n v="81.8"/>
    <n v="75.400000000000006"/>
    <n v="3"/>
    <n v="2"/>
    <n v="82.4"/>
    <n v="61.5"/>
    <n v="56.5"/>
    <n v="43.5"/>
    <n v="27813"/>
    <n v="29261"/>
    <n v="0.95051433648884176"/>
  </r>
  <r>
    <x v="8"/>
    <n v="3"/>
    <x v="5"/>
    <n v="0"/>
    <n v="58.5"/>
    <n v="41.5"/>
    <n v="18"/>
    <n v="7"/>
    <n v="6"/>
    <n v="4"/>
    <n v="6"/>
    <n v="2"/>
    <n v="6"/>
    <n v="1"/>
    <n v="85.5"/>
    <n v="79.099999999999994"/>
    <n v="4"/>
    <n v="1"/>
    <n v="66.7"/>
    <n v="33.299999999999997"/>
    <n v="40"/>
    <n v="60"/>
    <n v="70322"/>
    <n v="71310"/>
    <n v="0.98614500070116395"/>
  </r>
  <r>
    <x v="2"/>
    <n v="3"/>
    <x v="9"/>
    <n v="1"/>
    <n v="27"/>
    <n v="73"/>
    <n v="10"/>
    <n v="16"/>
    <n v="7"/>
    <n v="6"/>
    <n v="2"/>
    <n v="3"/>
    <n v="1"/>
    <n v="7"/>
    <n v="49.8"/>
    <n v="83.3"/>
    <n v="1"/>
    <n v="3"/>
    <n v="41.2"/>
    <n v="55.6"/>
    <n v="48.4"/>
    <n v="51.6"/>
    <n v="14163"/>
    <n v="15250"/>
    <n v="0.92872131147540982"/>
  </r>
  <r>
    <x v="14"/>
    <n v="0"/>
    <x v="17"/>
    <n v="2"/>
    <n v="59.3"/>
    <n v="40.700000000000003"/>
    <n v="6"/>
    <n v="13"/>
    <n v="2"/>
    <n v="4"/>
    <n v="2"/>
    <n v="4"/>
    <n v="2"/>
    <n v="5"/>
    <n v="86"/>
    <n v="79.7"/>
    <n v="1"/>
    <n v="1"/>
    <n v="57.1"/>
    <n v="50"/>
    <n v="58.8"/>
    <n v="41.2"/>
    <n v="58651"/>
    <n v="59850"/>
    <n v="0.97996658312447782"/>
  </r>
  <r>
    <x v="19"/>
    <n v="1"/>
    <x v="10"/>
    <n v="1"/>
    <n v="27.7"/>
    <n v="72.3"/>
    <n v="12"/>
    <n v="7"/>
    <n v="5"/>
    <n v="2"/>
    <n v="4"/>
    <n v="2"/>
    <n v="3"/>
    <n v="3"/>
    <n v="76.599999999999994"/>
    <n v="89.4"/>
    <n v="0"/>
    <n v="1"/>
    <n v="55.6"/>
    <n v="56.3"/>
    <n v="46.2"/>
    <n v="53.8"/>
    <n v="26229"/>
    <n v="27445"/>
    <n v="0.95569320459100016"/>
  </r>
  <r>
    <x v="18"/>
    <n v="0"/>
    <x v="15"/>
    <n v="1"/>
    <n v="45.7"/>
    <n v="54.3"/>
    <n v="10"/>
    <n v="16"/>
    <n v="3"/>
    <n v="6"/>
    <n v="1"/>
    <n v="5"/>
    <n v="6"/>
    <n v="5"/>
    <n v="76.400000000000006"/>
    <n v="81.2"/>
    <n v="0"/>
    <n v="1"/>
    <n v="37.5"/>
    <n v="29.4"/>
    <n v="41.2"/>
    <n v="58.8"/>
    <n v="28658"/>
    <n v="29050"/>
    <n v="0.98650602409638555"/>
  </r>
  <r>
    <x v="15"/>
    <n v="0"/>
    <x v="16"/>
    <n v="2"/>
    <n v="58.9"/>
    <n v="41.1"/>
    <n v="6"/>
    <n v="15"/>
    <n v="2"/>
    <n v="6"/>
    <n v="3"/>
    <n v="4"/>
    <n v="1"/>
    <n v="5"/>
    <n v="75.2"/>
    <n v="68.8"/>
    <n v="0"/>
    <n v="2"/>
    <n v="58.8"/>
    <n v="56.7"/>
    <n v="52"/>
    <n v="48"/>
    <n v="6972"/>
    <n v="9879"/>
    <n v="0.70573944731248106"/>
  </r>
  <r>
    <x v="16"/>
    <n v="2"/>
    <x v="13"/>
    <n v="1"/>
    <n v="62.5"/>
    <n v="37.5"/>
    <n v="8"/>
    <n v="9"/>
    <n v="2"/>
    <n v="3"/>
    <n v="5"/>
    <n v="4"/>
    <n v="1"/>
    <n v="2"/>
    <n v="80.099999999999994"/>
    <n v="65.5"/>
    <n v="1"/>
    <n v="1"/>
    <n v="52.6"/>
    <n v="66.7"/>
    <n v="40.6"/>
    <n v="59.4"/>
    <n v="21344"/>
    <n v="25700"/>
    <n v="0.83050583657587551"/>
  </r>
  <r>
    <x v="13"/>
    <n v="1"/>
    <x v="18"/>
    <n v="1"/>
    <n v="73.7"/>
    <n v="26.3"/>
    <n v="16"/>
    <n v="2"/>
    <n v="3"/>
    <n v="1"/>
    <n v="6"/>
    <n v="0"/>
    <n v="7"/>
    <n v="1"/>
    <n v="90.2"/>
    <n v="77.7"/>
    <n v="4"/>
    <n v="0"/>
    <n v="53.8"/>
    <n v="53.8"/>
    <n v="56.3"/>
    <n v="43.8"/>
    <n v="50444"/>
    <n v="50400"/>
    <n v="1.0008730158730159"/>
  </r>
  <r>
    <x v="11"/>
    <n v="0"/>
    <x v="12"/>
    <n v="0"/>
    <n v="59"/>
    <n v="41"/>
    <n v="16"/>
    <n v="8"/>
    <n v="5"/>
    <n v="1"/>
    <n v="9"/>
    <n v="3"/>
    <n v="2"/>
    <n v="4"/>
    <n v="77.3"/>
    <n v="63.6"/>
    <n v="7"/>
    <n v="0"/>
    <n v="50"/>
    <n v="56.3"/>
    <n v="55.6"/>
    <n v="44.4"/>
    <n v="49211"/>
    <n v="49350"/>
    <n v="0.99718338399189466"/>
  </r>
  <r>
    <x v="10"/>
    <n v="2"/>
    <x v="19"/>
    <n v="4"/>
    <n v="67.8"/>
    <n v="32.200000000000003"/>
    <n v="9"/>
    <n v="14"/>
    <n v="5"/>
    <n v="7"/>
    <n v="2"/>
    <n v="3"/>
    <n v="2"/>
    <n v="4"/>
    <n v="88.3"/>
    <n v="72.599999999999994"/>
    <n v="1"/>
    <n v="2"/>
    <n v="50"/>
    <n v="47.4"/>
    <n v="60"/>
    <n v="40"/>
    <n v="28647"/>
    <n v="28876"/>
    <n v="0.99206953871727388"/>
  </r>
  <r>
    <x v="12"/>
    <n v="0"/>
    <x v="14"/>
    <n v="2"/>
    <n v="63.1"/>
    <n v="36.9"/>
    <n v="20"/>
    <n v="9"/>
    <n v="5"/>
    <n v="6"/>
    <n v="9"/>
    <n v="2"/>
    <n v="6"/>
    <n v="1"/>
    <n v="86.5"/>
    <n v="75"/>
    <n v="0"/>
    <n v="1"/>
    <n v="41.7"/>
    <n v="50"/>
    <n v="54.8"/>
    <n v="45.2"/>
    <n v="59467"/>
    <n v="65013"/>
    <n v="0.9146939842800671"/>
  </r>
  <r>
    <x v="17"/>
    <n v="2"/>
    <x v="11"/>
    <n v="1"/>
    <n v="57"/>
    <n v="43"/>
    <n v="21"/>
    <n v="7"/>
    <n v="5"/>
    <n v="2"/>
    <n v="10"/>
    <n v="3"/>
    <n v="6"/>
    <n v="2"/>
    <n v="84.4"/>
    <n v="78.599999999999994"/>
    <n v="3"/>
    <n v="3"/>
    <n v="66.7"/>
    <n v="35.700000000000003"/>
    <n v="46.7"/>
    <n v="53.3"/>
    <n v="50343"/>
    <n v="58000"/>
    <n v="0.86798275862068963"/>
  </r>
  <r>
    <x v="6"/>
    <n v="1"/>
    <x v="2"/>
    <n v="3"/>
    <n v="31"/>
    <n v="69"/>
    <n v="9"/>
    <n v="26"/>
    <n v="1"/>
    <n v="9"/>
    <n v="4"/>
    <n v="12"/>
    <n v="4"/>
    <n v="5"/>
    <n v="73.3"/>
    <n v="87.5"/>
    <n v="0"/>
    <n v="6"/>
    <n v="46.2"/>
    <n v="53.8"/>
    <n v="41.7"/>
    <n v="58.3"/>
    <n v="33889"/>
    <n v="35220"/>
    <n v="0.96220897217490065"/>
  </r>
  <r>
    <x v="3"/>
    <n v="2"/>
    <x v="5"/>
    <n v="0"/>
    <n v="60.3"/>
    <n v="39.700000000000003"/>
    <n v="15"/>
    <n v="9"/>
    <n v="5"/>
    <n v="4"/>
    <n v="7"/>
    <n v="4"/>
    <n v="3"/>
    <n v="1"/>
    <n v="88.3"/>
    <n v="81.2"/>
    <n v="2"/>
    <n v="0"/>
    <n v="58.8"/>
    <n v="64.7"/>
    <n v="42.1"/>
    <n v="57.9"/>
    <n v="37046"/>
    <n v="37343"/>
    <n v="0.99204670219318214"/>
  </r>
  <r>
    <x v="8"/>
    <n v="3"/>
    <x v="4"/>
    <n v="0"/>
    <n v="65.8"/>
    <n v="34.200000000000003"/>
    <n v="17"/>
    <n v="8"/>
    <n v="8"/>
    <n v="3"/>
    <n v="3"/>
    <n v="3"/>
    <n v="6"/>
    <n v="2"/>
    <n v="87"/>
    <n v="71.3"/>
    <n v="3"/>
    <n v="0"/>
    <n v="50"/>
    <n v="64.7"/>
    <n v="53.8"/>
    <n v="46.2"/>
    <n v="70608"/>
    <n v="71310"/>
    <n v="0.99015565839293229"/>
  </r>
  <r>
    <x v="2"/>
    <n v="2"/>
    <x v="6"/>
    <n v="2"/>
    <n v="39.1"/>
    <n v="60.9"/>
    <n v="9"/>
    <n v="15"/>
    <n v="5"/>
    <n v="8"/>
    <n v="3"/>
    <n v="2"/>
    <n v="1"/>
    <n v="5"/>
    <n v="63.6"/>
    <n v="81.8"/>
    <n v="2"/>
    <n v="0"/>
    <n v="25"/>
    <n v="44.4"/>
    <n v="33.299999999999997"/>
    <n v="66.7"/>
    <n v="14137"/>
    <n v="15250"/>
    <n v="0.92701639344262299"/>
  </r>
  <r>
    <x v="4"/>
    <n v="0"/>
    <x v="8"/>
    <n v="3"/>
    <n v="36.200000000000003"/>
    <n v="63.8"/>
    <n v="4"/>
    <n v="23"/>
    <n v="0"/>
    <n v="11"/>
    <n v="3"/>
    <n v="6"/>
    <n v="1"/>
    <n v="6"/>
    <n v="74.5"/>
    <n v="85.8"/>
    <n v="0"/>
    <n v="2"/>
    <n v="73.3"/>
    <n v="56.3"/>
    <n v="28.6"/>
    <n v="71.400000000000006"/>
    <n v="22176"/>
    <n v="23486"/>
    <n v="0.94422208975559907"/>
  </r>
  <r>
    <x v="5"/>
    <n v="1"/>
    <x v="0"/>
    <n v="2"/>
    <n v="58.8"/>
    <n v="41.2"/>
    <n v="12"/>
    <n v="7"/>
    <n v="6"/>
    <n v="4"/>
    <n v="4"/>
    <n v="2"/>
    <n v="2"/>
    <n v="1"/>
    <n v="84.8"/>
    <n v="75.5"/>
    <n v="2"/>
    <n v="1"/>
    <n v="76.5"/>
    <n v="63.2"/>
    <n v="50"/>
    <n v="50"/>
    <n v="36252"/>
    <n v="36572"/>
    <n v="0.99125013671661377"/>
  </r>
  <r>
    <x v="7"/>
    <n v="0"/>
    <x v="3"/>
    <n v="3"/>
    <n v="60.1"/>
    <n v="39.9"/>
    <n v="8"/>
    <n v="12"/>
    <n v="2"/>
    <n v="5"/>
    <n v="2"/>
    <n v="4"/>
    <n v="4"/>
    <n v="3"/>
    <n v="82.1"/>
    <n v="74.2"/>
    <n v="0"/>
    <n v="2"/>
    <n v="66.7"/>
    <n v="58.3"/>
    <n v="36.700000000000003"/>
    <n v="63.3"/>
    <n v="29185"/>
    <n v="29261"/>
    <n v="0.99740268616930383"/>
  </r>
  <r>
    <x v="9"/>
    <n v="1"/>
    <x v="1"/>
    <n v="3"/>
    <n v="33.6"/>
    <n v="66.400000000000006"/>
    <n v="14"/>
    <n v="7"/>
    <n v="4"/>
    <n v="4"/>
    <n v="7"/>
    <n v="2"/>
    <n v="3"/>
    <n v="1"/>
    <n v="77.2"/>
    <n v="86.8"/>
    <n v="0"/>
    <n v="1"/>
    <n v="62.5"/>
    <n v="38.1"/>
    <n v="45.2"/>
    <n v="54.8"/>
    <n v="28010"/>
    <n v="29384"/>
    <n v="0.9532398584263545"/>
  </r>
  <r>
    <x v="1"/>
    <n v="1"/>
    <x v="9"/>
    <n v="3"/>
    <n v="48.1"/>
    <n v="51.9"/>
    <n v="12"/>
    <n v="16"/>
    <n v="6"/>
    <n v="9"/>
    <n v="3"/>
    <n v="6"/>
    <n v="3"/>
    <n v="1"/>
    <n v="80.900000000000006"/>
    <n v="81.7"/>
    <n v="3"/>
    <n v="5"/>
    <n v="25"/>
    <n v="36.799999999999997"/>
    <n v="42.9"/>
    <n v="57.1"/>
    <n v="39085"/>
    <n v="39000"/>
    <n v="1.0021794871794871"/>
  </r>
  <r>
    <x v="0"/>
    <n v="3"/>
    <x v="7"/>
    <n v="1"/>
    <n v="66.5"/>
    <n v="33.5"/>
    <n v="16"/>
    <n v="8"/>
    <n v="5"/>
    <n v="4"/>
    <n v="6"/>
    <n v="4"/>
    <n v="5"/>
    <n v="0"/>
    <n v="89.5"/>
    <n v="75.5"/>
    <n v="3"/>
    <n v="0"/>
    <n v="66.7"/>
    <n v="50"/>
    <n v="48.4"/>
    <n v="51.6"/>
    <n v="57125"/>
    <n v="57704"/>
    <n v="0.98996603355053381"/>
  </r>
  <r>
    <x v="10"/>
    <n v="1"/>
    <x v="17"/>
    <n v="2"/>
    <n v="65.099999999999994"/>
    <n v="34.9"/>
    <n v="7"/>
    <n v="8"/>
    <n v="2"/>
    <n v="2"/>
    <n v="1"/>
    <n v="3"/>
    <n v="4"/>
    <n v="3"/>
    <n v="86.3"/>
    <n v="72"/>
    <n v="1"/>
    <n v="0"/>
    <n v="42.9"/>
    <n v="52.2"/>
    <n v="55.6"/>
    <n v="44.4"/>
    <n v="28581"/>
    <n v="28876"/>
    <n v="0.98978390358775459"/>
  </r>
  <r>
    <x v="16"/>
    <n v="1"/>
    <x v="15"/>
    <n v="2"/>
    <n v="52.7"/>
    <n v="47.3"/>
    <n v="14"/>
    <n v="14"/>
    <n v="7"/>
    <n v="9"/>
    <n v="5"/>
    <n v="3"/>
    <n v="2"/>
    <n v="2"/>
    <n v="79.400000000000006"/>
    <n v="79.400000000000006"/>
    <n v="1"/>
    <n v="6"/>
    <n v="44.4"/>
    <n v="58.3"/>
    <n v="39.299999999999997"/>
    <n v="60.7"/>
    <n v="21246"/>
    <n v="25700"/>
    <n v="0.82669260700389102"/>
  </r>
  <r>
    <x v="13"/>
    <n v="1"/>
    <x v="14"/>
    <n v="2"/>
    <n v="74.599999999999994"/>
    <n v="25.4"/>
    <n v="29"/>
    <n v="10"/>
    <n v="6"/>
    <n v="8"/>
    <n v="9"/>
    <n v="1"/>
    <n v="14"/>
    <n v="1"/>
    <n v="85.2"/>
    <n v="56.9"/>
    <n v="1"/>
    <n v="5"/>
    <n v="77.8"/>
    <n v="27.3"/>
    <n v="52.4"/>
    <n v="47.6"/>
    <n v="49786"/>
    <n v="50400"/>
    <n v="0.98781746031746032"/>
  </r>
  <r>
    <x v="15"/>
    <n v="3"/>
    <x v="18"/>
    <n v="0"/>
    <n v="35.799999999999997"/>
    <n v="64.2"/>
    <n v="16"/>
    <n v="15"/>
    <n v="9"/>
    <n v="3"/>
    <n v="4"/>
    <n v="6"/>
    <n v="3"/>
    <n v="6"/>
    <n v="73.099999999999994"/>
    <n v="85.6"/>
    <n v="2"/>
    <n v="1"/>
    <n v="66.7"/>
    <n v="50"/>
    <n v="56.7"/>
    <n v="43.3"/>
    <n v="7382"/>
    <n v="9879"/>
    <n v="0.74724162364611801"/>
  </r>
  <r>
    <x v="17"/>
    <n v="3"/>
    <x v="13"/>
    <n v="1"/>
    <n v="59.9"/>
    <n v="40.1"/>
    <n v="15"/>
    <n v="9"/>
    <n v="7"/>
    <n v="5"/>
    <n v="6"/>
    <n v="3"/>
    <n v="2"/>
    <n v="1"/>
    <n v="86.3"/>
    <n v="80"/>
    <n v="6"/>
    <n v="3"/>
    <n v="41.7"/>
    <n v="50"/>
    <n v="55"/>
    <n v="45"/>
    <n v="50331"/>
    <n v="58000"/>
    <n v="0.86777586206896551"/>
  </r>
  <r>
    <x v="19"/>
    <n v="1"/>
    <x v="16"/>
    <n v="0"/>
    <n v="31.5"/>
    <n v="68.5"/>
    <n v="9"/>
    <n v="8"/>
    <n v="2"/>
    <n v="0"/>
    <n v="6"/>
    <n v="7"/>
    <n v="1"/>
    <n v="1"/>
    <n v="71.5"/>
    <n v="87"/>
    <n v="0"/>
    <n v="0"/>
    <n v="57.1"/>
    <n v="54.5"/>
    <n v="39.1"/>
    <n v="60.9"/>
    <n v="26045"/>
    <n v="27445"/>
    <n v="0.94898888686463834"/>
  </r>
  <r>
    <x v="14"/>
    <n v="4"/>
    <x v="12"/>
    <n v="3"/>
    <n v="54.7"/>
    <n v="45.3"/>
    <n v="14"/>
    <n v="12"/>
    <n v="8"/>
    <n v="5"/>
    <n v="3"/>
    <n v="2"/>
    <n v="3"/>
    <n v="5"/>
    <n v="82.6"/>
    <n v="78.900000000000006"/>
    <n v="4"/>
    <n v="4"/>
    <n v="66.7"/>
    <n v="52.6"/>
    <n v="51.9"/>
    <n v="48.1"/>
    <n v="58667"/>
    <n v="59850"/>
    <n v="0.98023391812865501"/>
  </r>
  <r>
    <x v="12"/>
    <n v="0"/>
    <x v="11"/>
    <n v="2"/>
    <n v="53.6"/>
    <n v="46.4"/>
    <n v="18"/>
    <n v="9"/>
    <n v="6"/>
    <n v="6"/>
    <n v="9"/>
    <n v="2"/>
    <n v="3"/>
    <n v="1"/>
    <n v="77.400000000000006"/>
    <n v="78.2"/>
    <n v="0"/>
    <n v="1"/>
    <n v="66.7"/>
    <n v="47.4"/>
    <n v="63.6"/>
    <n v="36.4"/>
    <n v="59459"/>
    <n v="65013"/>
    <n v="0.91457093196745265"/>
  </r>
  <r>
    <x v="11"/>
    <n v="1"/>
    <x v="10"/>
    <n v="0"/>
    <n v="48.9"/>
    <n v="51.1"/>
    <n v="10"/>
    <n v="5"/>
    <n v="3"/>
    <n v="2"/>
    <n v="3"/>
    <n v="2"/>
    <n v="4"/>
    <n v="1"/>
    <n v="82.7"/>
    <n v="84.1"/>
    <n v="2"/>
    <n v="0"/>
    <n v="65.2"/>
    <n v="65.2"/>
    <n v="72.7"/>
    <n v="27.3"/>
    <n v="49264"/>
    <n v="49350"/>
    <n v="0.998257345491388"/>
  </r>
  <r>
    <x v="18"/>
    <n v="0"/>
    <x v="19"/>
    <n v="2"/>
    <n v="37.4"/>
    <n v="62.6"/>
    <n v="11"/>
    <n v="14"/>
    <n v="2"/>
    <n v="4"/>
    <n v="6"/>
    <n v="7"/>
    <n v="3"/>
    <n v="3"/>
    <n v="79.599999999999994"/>
    <n v="89.3"/>
    <n v="0"/>
    <n v="1"/>
    <n v="52.9"/>
    <n v="50"/>
    <n v="69"/>
    <n v="31"/>
    <n v="31624"/>
    <n v="29050"/>
    <n v="1.088605851979346"/>
  </r>
  <r>
    <x v="3"/>
    <n v="0"/>
    <x v="19"/>
    <n v="1"/>
    <n v="44.3"/>
    <n v="55.7"/>
    <n v="5"/>
    <n v="14"/>
    <n v="1"/>
    <n v="2"/>
    <n v="1"/>
    <n v="9"/>
    <n v="3"/>
    <n v="3"/>
    <n v="73.099999999999994"/>
    <n v="82.1"/>
    <n v="0"/>
    <n v="2"/>
    <n v="54.2"/>
    <n v="58.8"/>
    <n v="56.7"/>
    <n v="43.3"/>
    <n v="37142"/>
    <n v="37343"/>
    <n v="0.99461746512063842"/>
  </r>
  <r>
    <x v="1"/>
    <n v="3"/>
    <x v="15"/>
    <n v="1"/>
    <n v="41.8"/>
    <n v="58.2"/>
    <n v="6"/>
    <n v="8"/>
    <n v="4"/>
    <n v="3"/>
    <n v="2"/>
    <n v="2"/>
    <n v="0"/>
    <n v="3"/>
    <n v="83.5"/>
    <n v="85.3"/>
    <n v="1"/>
    <n v="0"/>
    <n v="31.3"/>
    <n v="66.7"/>
    <n v="50"/>
    <n v="50"/>
    <n v="39058"/>
    <n v="39000"/>
    <n v="1.0014871794871796"/>
  </r>
  <r>
    <x v="9"/>
    <n v="1"/>
    <x v="3"/>
    <n v="4"/>
    <n v="55.2"/>
    <n v="44.8"/>
    <n v="16"/>
    <n v="7"/>
    <n v="5"/>
    <n v="4"/>
    <n v="6"/>
    <n v="2"/>
    <n v="5"/>
    <n v="1"/>
    <n v="78.2"/>
    <n v="67.599999999999994"/>
    <n v="2"/>
    <n v="2"/>
    <n v="71.400000000000006"/>
    <n v="60"/>
    <n v="47.1"/>
    <n v="52.9"/>
    <n v="27402"/>
    <n v="29384"/>
    <n v="0.93254832561938472"/>
  </r>
  <r>
    <x v="12"/>
    <n v="1"/>
    <x v="16"/>
    <n v="2"/>
    <n v="42"/>
    <n v="58"/>
    <n v="5"/>
    <n v="15"/>
    <n v="2"/>
    <n v="6"/>
    <n v="3"/>
    <n v="2"/>
    <n v="0"/>
    <n v="7"/>
    <n v="80.400000000000006"/>
    <n v="87.1"/>
    <n v="0"/>
    <n v="1"/>
    <n v="56.3"/>
    <n v="69.2"/>
    <n v="54.5"/>
    <n v="45.5"/>
    <n v="59451"/>
    <n v="65013"/>
    <n v="0.91444787965483831"/>
  </r>
  <r>
    <x v="14"/>
    <n v="1"/>
    <x v="9"/>
    <n v="2"/>
    <n v="46.6"/>
    <n v="53.4"/>
    <n v="14"/>
    <n v="13"/>
    <n v="5"/>
    <n v="6"/>
    <n v="6"/>
    <n v="3"/>
    <n v="3"/>
    <n v="4"/>
    <n v="82.6"/>
    <n v="83.6"/>
    <n v="3"/>
    <n v="1"/>
    <n v="73.3"/>
    <n v="50"/>
    <n v="53.8"/>
    <n v="46.2"/>
    <n v="59008"/>
    <n v="59850"/>
    <n v="0.98593149540517966"/>
  </r>
  <r>
    <x v="6"/>
    <n v="4"/>
    <x v="5"/>
    <n v="3"/>
    <n v="60.9"/>
    <n v="39.1"/>
    <n v="18"/>
    <n v="9"/>
    <n v="4"/>
    <n v="6"/>
    <n v="6"/>
    <n v="2"/>
    <n v="8"/>
    <n v="1"/>
    <n v="81.7"/>
    <n v="73"/>
    <n v="1"/>
    <n v="2"/>
    <n v="65.400000000000006"/>
    <n v="73.3"/>
    <n v="65.8"/>
    <n v="34.200000000000003"/>
    <n v="33304"/>
    <n v="35220"/>
    <n v="0.9455990914253265"/>
  </r>
  <r>
    <x v="13"/>
    <n v="2"/>
    <x v="8"/>
    <n v="1"/>
    <n v="70.599999999999994"/>
    <n v="29.4"/>
    <n v="16"/>
    <n v="4"/>
    <n v="5"/>
    <n v="2"/>
    <n v="5"/>
    <n v="1"/>
    <n v="6"/>
    <n v="1"/>
    <n v="91.1"/>
    <n v="79.3"/>
    <n v="3"/>
    <n v="0"/>
    <n v="12.5"/>
    <n v="73.3"/>
    <n v="54.5"/>
    <n v="45.5"/>
    <n v="49395"/>
    <n v="50400"/>
    <n v="0.98005952380952377"/>
  </r>
  <r>
    <x v="19"/>
    <n v="2"/>
    <x v="14"/>
    <n v="2"/>
    <n v="47.2"/>
    <n v="52.8"/>
    <n v="15"/>
    <n v="6"/>
    <n v="7"/>
    <n v="2"/>
    <n v="6"/>
    <n v="3"/>
    <n v="2"/>
    <n v="1"/>
    <n v="75.7"/>
    <n v="76.900000000000006"/>
    <n v="2"/>
    <n v="1"/>
    <n v="61.1"/>
    <n v="75"/>
    <n v="53.3"/>
    <n v="46.7"/>
    <n v="25869"/>
    <n v="27445"/>
    <n v="0.94257606121333581"/>
  </r>
  <r>
    <x v="18"/>
    <n v="2"/>
    <x v="1"/>
    <n v="3"/>
    <n v="28.6"/>
    <n v="71.400000000000006"/>
    <n v="8"/>
    <n v="19"/>
    <n v="5"/>
    <n v="8"/>
    <n v="1"/>
    <n v="7"/>
    <n v="2"/>
    <n v="4"/>
    <n v="75.400000000000006"/>
    <n v="90.2"/>
    <n v="1"/>
    <n v="1"/>
    <n v="38.9"/>
    <n v="78.599999999999994"/>
    <n v="34.799999999999997"/>
    <n v="65.2"/>
    <n v="27732"/>
    <n v="29050"/>
    <n v="0.95462994836488813"/>
  </r>
  <r>
    <x v="5"/>
    <n v="0"/>
    <x v="11"/>
    <n v="2"/>
    <n v="48.4"/>
    <n v="51.6"/>
    <n v="12"/>
    <n v="22"/>
    <n v="2"/>
    <n v="8"/>
    <n v="5"/>
    <n v="7"/>
    <n v="5"/>
    <n v="7"/>
    <n v="80.5"/>
    <n v="85.4"/>
    <n v="2"/>
    <n v="3"/>
    <n v="50"/>
    <n v="61.5"/>
    <n v="76"/>
    <n v="24"/>
    <n v="36206"/>
    <n v="36572"/>
    <n v="0.98999234386962709"/>
  </r>
  <r>
    <x v="0"/>
    <n v="5"/>
    <x v="4"/>
    <n v="0"/>
    <n v="69.099999999999994"/>
    <n v="30.9"/>
    <n v="24"/>
    <n v="5"/>
    <n v="10"/>
    <n v="2"/>
    <n v="5"/>
    <n v="2"/>
    <n v="9"/>
    <n v="1"/>
    <n v="89.2"/>
    <n v="75.599999999999994"/>
    <n v="3"/>
    <n v="0"/>
    <n v="64.3"/>
    <n v="56"/>
    <n v="43.5"/>
    <n v="56.5"/>
    <n v="57263"/>
    <n v="57704"/>
    <n v="0.99235754887009564"/>
  </r>
  <r>
    <x v="8"/>
    <n v="1"/>
    <x v="7"/>
    <n v="0"/>
    <n v="53"/>
    <n v="47"/>
    <n v="16"/>
    <n v="13"/>
    <n v="3"/>
    <n v="5"/>
    <n v="7"/>
    <n v="2"/>
    <n v="6"/>
    <n v="6"/>
    <n v="82.7"/>
    <n v="82.8"/>
    <n v="3"/>
    <n v="1"/>
    <n v="83.3"/>
    <n v="53.8"/>
    <n v="53.3"/>
    <n v="46.7"/>
    <n v="70682"/>
    <n v="71310"/>
    <n v="0.99119338101248067"/>
  </r>
  <r>
    <x v="7"/>
    <n v="0"/>
    <x v="2"/>
    <n v="1"/>
    <n v="35.700000000000003"/>
    <n v="64.3"/>
    <n v="10"/>
    <n v="15"/>
    <n v="5"/>
    <n v="5"/>
    <n v="4"/>
    <n v="6"/>
    <n v="1"/>
    <n v="4"/>
    <n v="80.3"/>
    <n v="90"/>
    <n v="1"/>
    <n v="0"/>
    <n v="75"/>
    <n v="57.1"/>
    <n v="45.8"/>
    <n v="54.2"/>
    <n v="29223"/>
    <n v="29261"/>
    <n v="0.99870134308465197"/>
  </r>
  <r>
    <x v="15"/>
    <n v="2"/>
    <x v="6"/>
    <n v="3"/>
    <n v="30.6"/>
    <n v="69.400000000000006"/>
    <n v="6"/>
    <n v="23"/>
    <n v="4"/>
    <n v="7"/>
    <n v="2"/>
    <n v="10"/>
    <n v="0"/>
    <n v="6"/>
    <n v="76.400000000000006"/>
    <n v="89.9"/>
    <n v="2"/>
    <n v="2"/>
    <n v="50"/>
    <n v="43.8"/>
    <n v="52.2"/>
    <n v="47.8"/>
    <n v="7430"/>
    <n v="9879"/>
    <n v="0.75210041502176339"/>
  </r>
  <r>
    <x v="2"/>
    <n v="1"/>
    <x v="0"/>
    <n v="1"/>
    <n v="57.8"/>
    <n v="42.2"/>
    <n v="12"/>
    <n v="13"/>
    <n v="3"/>
    <n v="4"/>
    <n v="6"/>
    <n v="6"/>
    <n v="3"/>
    <n v="3"/>
    <n v="80.400000000000006"/>
    <n v="75.3"/>
    <n v="1"/>
    <n v="0"/>
    <n v="52.9"/>
    <n v="35.299999999999997"/>
    <n v="62.1"/>
    <n v="37.9"/>
    <n v="14051"/>
    <n v="15250"/>
    <n v="0.92137704918032792"/>
  </r>
  <r>
    <x v="10"/>
    <n v="4"/>
    <x v="10"/>
    <n v="1"/>
    <n v="41"/>
    <n v="59"/>
    <n v="19"/>
    <n v="15"/>
    <n v="9"/>
    <n v="7"/>
    <n v="7"/>
    <n v="5"/>
    <n v="3"/>
    <n v="3"/>
    <n v="79.099999999999994"/>
    <n v="86"/>
    <n v="2"/>
    <n v="1"/>
    <n v="61.1"/>
    <n v="50"/>
    <n v="47.8"/>
    <n v="52.2"/>
    <n v="28746"/>
    <n v="28876"/>
    <n v="0.99549799141155282"/>
  </r>
  <r>
    <x v="4"/>
    <n v="1"/>
    <x v="13"/>
    <n v="0"/>
    <n v="44.4"/>
    <n v="55.6"/>
    <n v="12"/>
    <n v="14"/>
    <n v="3"/>
    <n v="4"/>
    <n v="4"/>
    <n v="6"/>
    <n v="5"/>
    <n v="4"/>
    <n v="72.099999999999994"/>
    <n v="81.3"/>
    <n v="1"/>
    <n v="3"/>
    <n v="69.599999999999994"/>
    <n v="65"/>
    <n v="50"/>
    <n v="50"/>
    <n v="22130"/>
    <n v="23486"/>
    <n v="0.94226347611342931"/>
  </r>
  <r>
    <x v="11"/>
    <n v="4"/>
    <x v="17"/>
    <n v="0"/>
    <n v="59.5"/>
    <n v="40.5"/>
    <n v="20"/>
    <n v="3"/>
    <n v="7"/>
    <n v="0"/>
    <n v="10"/>
    <n v="0"/>
    <n v="3"/>
    <n v="3"/>
    <n v="78.8"/>
    <n v="73.900000000000006"/>
    <n v="3"/>
    <n v="0"/>
    <n v="60"/>
    <n v="47.4"/>
    <n v="61.9"/>
    <n v="38.1"/>
    <n v="49233"/>
    <n v="49350"/>
    <n v="0.99762917933130701"/>
  </r>
  <r>
    <x v="16"/>
    <n v="0"/>
    <x v="18"/>
    <n v="0"/>
    <n v="56.5"/>
    <n v="43.5"/>
    <n v="24"/>
    <n v="9"/>
    <n v="6"/>
    <n v="4"/>
    <n v="10"/>
    <n v="3"/>
    <n v="8"/>
    <n v="2"/>
    <n v="83.4"/>
    <n v="79.7"/>
    <n v="0"/>
    <n v="2"/>
    <n v="50"/>
    <n v="60"/>
    <n v="63.6"/>
    <n v="36.4"/>
    <n v="20534"/>
    <n v="25700"/>
    <n v="0.79898832684824905"/>
  </r>
  <r>
    <x v="17"/>
    <n v="1"/>
    <x v="12"/>
    <n v="2"/>
    <n v="69"/>
    <n v="31"/>
    <n v="22"/>
    <n v="14"/>
    <n v="10"/>
    <n v="6"/>
    <n v="8"/>
    <n v="6"/>
    <n v="4"/>
    <n v="2"/>
    <n v="81.599999999999994"/>
    <n v="63.2"/>
    <n v="3"/>
    <n v="1"/>
    <n v="52.9"/>
    <n v="33.299999999999997"/>
    <n v="50"/>
    <n v="50"/>
    <n v="50274"/>
    <n v="58000"/>
    <n v="0.86679310344827587"/>
  </r>
  <r>
    <x v="12"/>
    <n v="2"/>
    <x v="5"/>
    <n v="0"/>
    <n v="54.4"/>
    <n v="45.6"/>
    <n v="20"/>
    <n v="5"/>
    <n v="4"/>
    <n v="3"/>
    <n v="8"/>
    <n v="2"/>
    <n v="8"/>
    <n v="0"/>
    <n v="84.7"/>
    <n v="83.1"/>
    <n v="1"/>
    <n v="1"/>
    <n v="45.5"/>
    <n v="76.2"/>
    <n v="48.6"/>
    <n v="51.4"/>
    <n v="59447"/>
    <n v="65013"/>
    <n v="0.91438635349853103"/>
  </r>
  <r>
    <x v="1"/>
    <n v="4"/>
    <x v="14"/>
    <n v="0"/>
    <n v="45.1"/>
    <n v="54.9"/>
    <n v="19"/>
    <n v="12"/>
    <n v="11"/>
    <n v="3"/>
    <n v="3"/>
    <n v="5"/>
    <n v="5"/>
    <n v="4"/>
    <n v="75.099999999999994"/>
    <n v="76.099999999999994"/>
    <n v="2"/>
    <n v="1"/>
    <n v="60"/>
    <n v="50"/>
    <n v="41.7"/>
    <n v="58.3"/>
    <n v="38693"/>
    <n v="39000"/>
    <n v="0.9921282051282051"/>
  </r>
  <r>
    <x v="6"/>
    <n v="2"/>
    <x v="8"/>
    <n v="3"/>
    <n v="57.2"/>
    <n v="42.8"/>
    <n v="14"/>
    <n v="11"/>
    <n v="5"/>
    <n v="5"/>
    <n v="4"/>
    <n v="3"/>
    <n v="5"/>
    <n v="3"/>
    <n v="79.900000000000006"/>
    <n v="71.8"/>
    <n v="3"/>
    <n v="5"/>
    <n v="40.9"/>
    <n v="56.3"/>
    <n v="45.2"/>
    <n v="54.8"/>
    <n v="33447"/>
    <n v="35220"/>
    <n v="0.94965928449744463"/>
  </r>
  <r>
    <x v="9"/>
    <n v="1"/>
    <x v="19"/>
    <n v="1"/>
    <n v="40.700000000000003"/>
    <n v="59.3"/>
    <n v="10"/>
    <n v="12"/>
    <n v="3"/>
    <n v="3"/>
    <n v="3"/>
    <n v="4"/>
    <n v="4"/>
    <n v="5"/>
    <n v="80.400000000000006"/>
    <n v="86.1"/>
    <n v="1"/>
    <n v="3"/>
    <n v="66.7"/>
    <n v="56.3"/>
    <n v="50"/>
    <n v="50"/>
    <n v="28145"/>
    <n v="29384"/>
    <n v="0.95783419548053361"/>
  </r>
  <r>
    <x v="18"/>
    <n v="0"/>
    <x v="11"/>
    <n v="4"/>
    <n v="60.9"/>
    <n v="39.1"/>
    <n v="21"/>
    <n v="5"/>
    <n v="6"/>
    <n v="4"/>
    <n v="7"/>
    <n v="1"/>
    <n v="8"/>
    <n v="0"/>
    <n v="85.3"/>
    <n v="72.599999999999994"/>
    <n v="2"/>
    <n v="2"/>
    <n v="63.6"/>
    <n v="34.799999999999997"/>
    <n v="65.400000000000006"/>
    <n v="34.6"/>
    <n v="28425"/>
    <n v="29050"/>
    <n v="0.97848537005163516"/>
  </r>
  <r>
    <x v="14"/>
    <n v="1"/>
    <x v="3"/>
    <n v="2"/>
    <n v="52.4"/>
    <n v="47.6"/>
    <n v="17"/>
    <n v="13"/>
    <n v="5"/>
    <n v="5"/>
    <n v="4"/>
    <n v="3"/>
    <n v="8"/>
    <n v="5"/>
    <n v="79"/>
    <n v="81.2"/>
    <n v="2"/>
    <n v="1"/>
    <n v="58.8"/>
    <n v="73.3"/>
    <n v="54.3"/>
    <n v="45.7"/>
    <n v="58726"/>
    <n v="59850"/>
    <n v="0.9812197159565581"/>
  </r>
  <r>
    <x v="19"/>
    <n v="1"/>
    <x v="9"/>
    <n v="0"/>
    <n v="24.8"/>
    <n v="75.2"/>
    <n v="10"/>
    <n v="15"/>
    <n v="7"/>
    <n v="7"/>
    <n v="1"/>
    <n v="7"/>
    <n v="2"/>
    <n v="1"/>
    <n v="63.9"/>
    <n v="86.1"/>
    <n v="4"/>
    <n v="4"/>
    <n v="78.900000000000006"/>
    <n v="50"/>
    <n v="50"/>
    <n v="50"/>
    <n v="26245"/>
    <n v="27445"/>
    <n v="0.95627618874111864"/>
  </r>
  <r>
    <x v="5"/>
    <n v="3"/>
    <x v="16"/>
    <n v="0"/>
    <n v="45.8"/>
    <n v="54.2"/>
    <n v="9"/>
    <n v="9"/>
    <n v="6"/>
    <n v="2"/>
    <n v="1"/>
    <n v="4"/>
    <n v="2"/>
    <n v="3"/>
    <n v="81.900000000000006"/>
    <n v="84.9"/>
    <n v="2"/>
    <n v="0"/>
    <n v="76.900000000000006"/>
    <n v="60"/>
    <n v="54.5"/>
    <n v="45.5"/>
    <n v="35939"/>
    <n v="36572"/>
    <n v="0.98269167669255164"/>
  </r>
  <r>
    <x v="13"/>
    <n v="3"/>
    <x v="1"/>
    <n v="1"/>
    <n v="48.4"/>
    <n v="51.6"/>
    <n v="10"/>
    <n v="8"/>
    <n v="4"/>
    <n v="2"/>
    <n v="3"/>
    <n v="3"/>
    <n v="3"/>
    <n v="3"/>
    <n v="82.5"/>
    <n v="84.5"/>
    <n v="2"/>
    <n v="1"/>
    <n v="64.3"/>
    <n v="37.5"/>
    <n v="11.1"/>
    <n v="88.9"/>
    <n v="50223"/>
    <n v="50400"/>
    <n v="0.99648809523809523"/>
  </r>
  <r>
    <x v="3"/>
    <n v="1"/>
    <x v="15"/>
    <n v="1"/>
    <n v="47.9"/>
    <n v="52.1"/>
    <n v="6"/>
    <n v="13"/>
    <n v="2"/>
    <n v="6"/>
    <n v="3"/>
    <n v="6"/>
    <n v="1"/>
    <n v="1"/>
    <n v="78"/>
    <n v="77.599999999999994"/>
    <n v="1"/>
    <n v="1"/>
    <n v="50"/>
    <n v="44.4"/>
    <n v="46.7"/>
    <n v="53.3"/>
    <n v="36503"/>
    <n v="37343"/>
    <n v="0.97750582438475753"/>
  </r>
  <r>
    <x v="16"/>
    <n v="3"/>
    <x v="17"/>
    <n v="0"/>
    <n v="60.4"/>
    <n v="39.6"/>
    <n v="18"/>
    <n v="12"/>
    <n v="8"/>
    <n v="6"/>
    <n v="5"/>
    <n v="3"/>
    <n v="5"/>
    <n v="3"/>
    <n v="85.7"/>
    <n v="77.5"/>
    <n v="2"/>
    <n v="0"/>
    <n v="58.3"/>
    <n v="42.9"/>
    <n v="53.1"/>
    <n v="46.9"/>
    <n v="20508"/>
    <n v="25700"/>
    <n v="0.79797665369649806"/>
  </r>
  <r>
    <x v="7"/>
    <n v="2"/>
    <x v="12"/>
    <n v="0"/>
    <n v="46.8"/>
    <n v="53.2"/>
    <n v="5"/>
    <n v="14"/>
    <n v="1"/>
    <n v="2"/>
    <n v="1"/>
    <n v="8"/>
    <n v="3"/>
    <n v="4"/>
    <n v="78.3"/>
    <n v="78.400000000000006"/>
    <n v="1"/>
    <n v="1"/>
    <n v="53.8"/>
    <n v="53.3"/>
    <n v="33.299999999999997"/>
    <n v="66.7"/>
    <n v="27814"/>
    <n v="29261"/>
    <n v="0.95054851167082466"/>
  </r>
  <r>
    <x v="15"/>
    <n v="0"/>
    <x v="13"/>
    <n v="1"/>
    <n v="53.5"/>
    <n v="46.5"/>
    <n v="15"/>
    <n v="9"/>
    <n v="3"/>
    <n v="3"/>
    <n v="8"/>
    <n v="2"/>
    <n v="4"/>
    <n v="4"/>
    <n v="81.900000000000006"/>
    <n v="81"/>
    <n v="0"/>
    <n v="1"/>
    <n v="38.5"/>
    <n v="47.8"/>
    <n v="62.5"/>
    <n v="37.5"/>
    <n v="7405"/>
    <n v="9879"/>
    <n v="0.74956979451361472"/>
  </r>
  <r>
    <x v="2"/>
    <n v="0"/>
    <x v="10"/>
    <n v="0"/>
    <n v="33.700000000000003"/>
    <n v="66.3"/>
    <n v="8"/>
    <n v="14"/>
    <n v="5"/>
    <n v="5"/>
    <n v="2"/>
    <n v="3"/>
    <n v="1"/>
    <n v="6"/>
    <n v="70"/>
    <n v="85.2"/>
    <n v="2"/>
    <n v="1"/>
    <n v="47.4"/>
    <n v="47.1"/>
    <n v="52.2"/>
    <n v="47.8"/>
    <n v="14118"/>
    <n v="15250"/>
    <n v="0.92577049180327864"/>
  </r>
  <r>
    <x v="17"/>
    <n v="1"/>
    <x v="7"/>
    <n v="0"/>
    <n v="53.8"/>
    <n v="46.2"/>
    <n v="22"/>
    <n v="8"/>
    <n v="7"/>
    <n v="3"/>
    <n v="8"/>
    <n v="4"/>
    <n v="7"/>
    <n v="1"/>
    <n v="85.2"/>
    <n v="80.8"/>
    <n v="1"/>
    <n v="4"/>
    <n v="61.5"/>
    <n v="53.3"/>
    <n v="61.1"/>
    <n v="38.9"/>
    <n v="50346"/>
    <n v="58000"/>
    <n v="0.86803448275862072"/>
  </r>
  <r>
    <x v="11"/>
    <n v="1"/>
    <x v="18"/>
    <n v="0"/>
    <n v="49.8"/>
    <n v="50.2"/>
    <n v="16"/>
    <n v="1"/>
    <n v="4"/>
    <n v="0"/>
    <n v="9"/>
    <n v="1"/>
    <n v="3"/>
    <n v="0"/>
    <n v="76.8"/>
    <n v="76.2"/>
    <n v="1"/>
    <n v="0"/>
    <n v="77.8"/>
    <n v="44.4"/>
    <n v="64.7"/>
    <n v="35.299999999999997"/>
    <n v="49247"/>
    <n v="49350"/>
    <n v="0.9979128672745694"/>
  </r>
  <r>
    <x v="8"/>
    <n v="2"/>
    <x v="6"/>
    <n v="0"/>
    <n v="51.9"/>
    <n v="48.1"/>
    <n v="28"/>
    <n v="9"/>
    <n v="10"/>
    <n v="2"/>
    <n v="9"/>
    <n v="5"/>
    <n v="9"/>
    <n v="2"/>
    <n v="85.4"/>
    <n v="84.3"/>
    <n v="2"/>
    <n v="1"/>
    <n v="70.599999999999994"/>
    <n v="50"/>
    <n v="61.1"/>
    <n v="38.9"/>
    <n v="70677"/>
    <n v="71310"/>
    <n v="0.99112326461926803"/>
  </r>
  <r>
    <x v="10"/>
    <n v="0"/>
    <x v="4"/>
    <n v="0"/>
    <n v="70.3"/>
    <n v="29.7"/>
    <n v="19"/>
    <n v="3"/>
    <n v="7"/>
    <n v="0"/>
    <n v="7"/>
    <n v="3"/>
    <n v="5"/>
    <n v="0"/>
    <n v="86.8"/>
    <n v="67.7"/>
    <n v="2"/>
    <n v="0"/>
    <n v="63.6"/>
    <n v="61.5"/>
    <n v="51.6"/>
    <n v="48.4"/>
    <n v="28463"/>
    <n v="28876"/>
    <n v="0.98569746502285638"/>
  </r>
  <r>
    <x v="4"/>
    <n v="2"/>
    <x v="0"/>
    <n v="1"/>
    <n v="51.3"/>
    <n v="48.7"/>
    <n v="14"/>
    <n v="10"/>
    <n v="4"/>
    <n v="4"/>
    <n v="5"/>
    <n v="5"/>
    <n v="5"/>
    <n v="1"/>
    <n v="82.4"/>
    <n v="79.400000000000006"/>
    <n v="2"/>
    <n v="2"/>
    <n v="52.2"/>
    <n v="51.7"/>
    <n v="58.6"/>
    <n v="41.4"/>
    <n v="22125"/>
    <n v="23486"/>
    <n v="0.94205058332623692"/>
  </r>
  <r>
    <x v="1"/>
    <n v="0"/>
    <x v="10"/>
    <n v="2"/>
    <n v="41.1"/>
    <n v="58.9"/>
    <n v="18"/>
    <n v="8"/>
    <n v="7"/>
    <n v="4"/>
    <n v="7"/>
    <n v="3"/>
    <n v="4"/>
    <n v="1"/>
    <n v="80.2"/>
    <n v="85.4"/>
    <n v="3"/>
    <n v="2"/>
    <n v="41.7"/>
    <n v="66.7"/>
    <n v="66.7"/>
    <n v="33.299999999999997"/>
    <n v="38754"/>
    <n v="39000"/>
    <n v="0.99369230769230765"/>
  </r>
  <r>
    <x v="6"/>
    <n v="0"/>
    <x v="19"/>
    <n v="1"/>
    <n v="47"/>
    <n v="53"/>
    <n v="16"/>
    <n v="9"/>
    <n v="4"/>
    <n v="4"/>
    <n v="5"/>
    <n v="2"/>
    <n v="7"/>
    <n v="3"/>
    <n v="78"/>
    <n v="83"/>
    <n v="1"/>
    <n v="1"/>
    <n v="56"/>
    <n v="58.8"/>
    <n v="56.5"/>
    <n v="43.5"/>
    <n v="33700"/>
    <n v="35220"/>
    <n v="0.95684270300965357"/>
  </r>
  <r>
    <x v="8"/>
    <n v="0"/>
    <x v="3"/>
    <n v="0"/>
    <n v="63"/>
    <n v="37"/>
    <n v="15"/>
    <n v="9"/>
    <n v="2"/>
    <n v="2"/>
    <n v="8"/>
    <n v="5"/>
    <n v="5"/>
    <n v="2"/>
    <n v="81.099999999999994"/>
    <n v="72.099999999999994"/>
    <n v="2"/>
    <n v="0"/>
    <n v="61.1"/>
    <n v="30.8"/>
    <n v="35"/>
    <n v="65"/>
    <n v="70726"/>
    <n v="71310"/>
    <n v="0.99181040527275277"/>
  </r>
  <r>
    <x v="9"/>
    <n v="1"/>
    <x v="7"/>
    <n v="1"/>
    <n v="39.1"/>
    <n v="60.9"/>
    <n v="10"/>
    <n v="25"/>
    <n v="8"/>
    <n v="4"/>
    <n v="1"/>
    <n v="9"/>
    <n v="1"/>
    <n v="12"/>
    <n v="72.400000000000006"/>
    <n v="80.099999999999994"/>
    <n v="1"/>
    <n v="1"/>
    <n v="35.700000000000003"/>
    <n v="54.5"/>
    <n v="50"/>
    <n v="50"/>
    <n v="26159"/>
    <n v="29384"/>
    <n v="0.89024639259460936"/>
  </r>
  <r>
    <x v="17"/>
    <n v="1"/>
    <x v="2"/>
    <n v="0"/>
    <n v="36.799999999999997"/>
    <n v="63.2"/>
    <n v="13"/>
    <n v="16"/>
    <n v="2"/>
    <n v="6"/>
    <n v="8"/>
    <n v="4"/>
    <n v="3"/>
    <n v="6"/>
    <n v="76.900000000000006"/>
    <n v="87.7"/>
    <n v="5"/>
    <n v="1"/>
    <n v="52.2"/>
    <n v="70"/>
    <n v="40"/>
    <n v="60"/>
    <n v="50286"/>
    <n v="58000"/>
    <n v="0.86699999999999999"/>
  </r>
  <r>
    <x v="7"/>
    <n v="0"/>
    <x v="16"/>
    <n v="0"/>
    <n v="53.1"/>
    <n v="46.9"/>
    <n v="14"/>
    <n v="8"/>
    <n v="5"/>
    <n v="1"/>
    <n v="5"/>
    <n v="5"/>
    <n v="4"/>
    <n v="2"/>
    <n v="85.1"/>
    <n v="82.9"/>
    <n v="1"/>
    <n v="0"/>
    <n v="48"/>
    <n v="69.2"/>
    <n v="40.9"/>
    <n v="59.1"/>
    <n v="28298"/>
    <n v="29261"/>
    <n v="0.96708929975052116"/>
  </r>
  <r>
    <x v="16"/>
    <n v="2"/>
    <x v="5"/>
    <n v="2"/>
    <n v="68.900000000000006"/>
    <n v="31.1"/>
    <n v="19"/>
    <n v="10"/>
    <n v="4"/>
    <n v="6"/>
    <n v="8"/>
    <n v="4"/>
    <n v="7"/>
    <n v="0"/>
    <n v="84.8"/>
    <n v="69.8"/>
    <n v="0"/>
    <n v="2"/>
    <n v="75"/>
    <n v="50"/>
    <n v="51.4"/>
    <n v="48.6"/>
    <n v="19913"/>
    <n v="25700"/>
    <n v="0.77482490272373539"/>
  </r>
  <r>
    <x v="18"/>
    <n v="1"/>
    <x v="4"/>
    <n v="0"/>
    <n v="58"/>
    <n v="42"/>
    <n v="9"/>
    <n v="10"/>
    <n v="2"/>
    <n v="2"/>
    <n v="5"/>
    <n v="6"/>
    <n v="2"/>
    <n v="2"/>
    <n v="81.599999999999994"/>
    <n v="71.900000000000006"/>
    <n v="0"/>
    <n v="0"/>
    <n v="47.1"/>
    <n v="37.5"/>
    <n v="34.6"/>
    <n v="65.400000000000006"/>
    <n v="28554"/>
    <n v="29050"/>
    <n v="0.98292598967297762"/>
  </r>
  <r>
    <x v="14"/>
    <n v="2"/>
    <x v="18"/>
    <n v="0"/>
    <n v="61.5"/>
    <n v="38.5"/>
    <n v="21"/>
    <n v="4"/>
    <n v="7"/>
    <n v="0"/>
    <n v="6"/>
    <n v="3"/>
    <n v="8"/>
    <n v="1"/>
    <n v="88.3"/>
    <n v="81.7"/>
    <n v="2"/>
    <n v="0"/>
    <n v="75"/>
    <n v="66.7"/>
    <n v="56.5"/>
    <n v="43.5"/>
    <n v="58812"/>
    <n v="59850"/>
    <n v="0.98265664160401001"/>
  </r>
  <r>
    <x v="2"/>
    <n v="2"/>
    <x v="1"/>
    <n v="0"/>
    <n v="27.5"/>
    <n v="72.5"/>
    <n v="7"/>
    <n v="21"/>
    <n v="3"/>
    <n v="7"/>
    <n v="4"/>
    <n v="4"/>
    <n v="0"/>
    <n v="10"/>
    <n v="66.8"/>
    <n v="85.1"/>
    <n v="2"/>
    <n v="2"/>
    <n v="58.3"/>
    <n v="60"/>
    <n v="53.1"/>
    <n v="46.9"/>
    <n v="14016"/>
    <n v="15250"/>
    <n v="0.91908196721311475"/>
  </r>
  <r>
    <x v="19"/>
    <n v="1"/>
    <x v="17"/>
    <n v="1"/>
    <n v="39.9"/>
    <n v="60.1"/>
    <n v="6"/>
    <n v="12"/>
    <n v="3"/>
    <n v="2"/>
    <n v="1"/>
    <n v="2"/>
    <n v="2"/>
    <n v="8"/>
    <n v="73.900000000000006"/>
    <n v="86.2"/>
    <n v="0"/>
    <n v="1"/>
    <n v="64.3"/>
    <n v="50"/>
    <n v="70"/>
    <n v="30"/>
    <n v="26208"/>
    <n v="27445"/>
    <n v="0.95492803789396974"/>
  </r>
  <r>
    <x v="4"/>
    <n v="2"/>
    <x v="12"/>
    <n v="1"/>
    <n v="54.5"/>
    <n v="45.5"/>
    <n v="13"/>
    <n v="10"/>
    <n v="5"/>
    <n v="4"/>
    <n v="5"/>
    <n v="2"/>
    <n v="3"/>
    <n v="4"/>
    <n v="76.8"/>
    <n v="64.3"/>
    <n v="3"/>
    <n v="1"/>
    <n v="38.9"/>
    <n v="44.8"/>
    <n v="53.6"/>
    <n v="46.4"/>
    <n v="22042"/>
    <n v="23486"/>
    <n v="0.93851656305884357"/>
  </r>
  <r>
    <x v="12"/>
    <n v="3"/>
    <x v="8"/>
    <n v="1"/>
    <n v="50.3"/>
    <n v="49.7"/>
    <n v="17"/>
    <n v="8"/>
    <n v="8"/>
    <n v="2"/>
    <n v="4"/>
    <n v="4"/>
    <n v="5"/>
    <n v="2"/>
    <n v="82.5"/>
    <n v="82.3"/>
    <n v="3"/>
    <n v="0"/>
    <n v="58.3"/>
    <n v="50"/>
    <n v="43.8"/>
    <n v="56.3"/>
    <n v="59454"/>
    <n v="65013"/>
    <n v="0.91449402427206872"/>
  </r>
  <r>
    <x v="0"/>
    <n v="3"/>
    <x v="9"/>
    <n v="2"/>
    <n v="44"/>
    <n v="56"/>
    <n v="11"/>
    <n v="8"/>
    <n v="7"/>
    <n v="3"/>
    <n v="1"/>
    <n v="2"/>
    <n v="3"/>
    <n v="3"/>
    <n v="78.2"/>
    <n v="80.900000000000006"/>
    <n v="2"/>
    <n v="1"/>
    <n v="62.5"/>
    <n v="46.7"/>
    <n v="56.5"/>
    <n v="43.5"/>
    <n v="56968"/>
    <n v="57704"/>
    <n v="0.98724525162900323"/>
  </r>
  <r>
    <x v="5"/>
    <n v="1"/>
    <x v="15"/>
    <n v="2"/>
    <n v="39.700000000000003"/>
    <n v="60.3"/>
    <n v="11"/>
    <n v="12"/>
    <n v="2"/>
    <n v="4"/>
    <n v="3"/>
    <n v="5"/>
    <n v="6"/>
    <n v="3"/>
    <n v="78.7"/>
    <n v="83.7"/>
    <n v="0"/>
    <n v="3"/>
    <n v="66.7"/>
    <n v="40"/>
    <n v="43.3"/>
    <n v="56.7"/>
    <n v="36258"/>
    <n v="36572"/>
    <n v="0.99141419665317732"/>
  </r>
  <r>
    <x v="15"/>
    <n v="2"/>
    <x v="11"/>
    <n v="1"/>
    <n v="44.2"/>
    <n v="55.8"/>
    <n v="10"/>
    <n v="9"/>
    <n v="4"/>
    <n v="5"/>
    <n v="2"/>
    <n v="2"/>
    <n v="4"/>
    <n v="2"/>
    <n v="84.7"/>
    <n v="86.2"/>
    <n v="1"/>
    <n v="1"/>
    <n v="84.6"/>
    <n v="68.8"/>
    <n v="26.9"/>
    <n v="73.099999999999994"/>
    <n v="7272"/>
    <n v="9879"/>
    <n v="0.73610689341026425"/>
  </r>
  <r>
    <x v="3"/>
    <n v="3"/>
    <x v="0"/>
    <n v="0"/>
    <n v="57.4"/>
    <n v="42.6"/>
    <n v="20"/>
    <n v="8"/>
    <n v="7"/>
    <n v="2"/>
    <n v="10"/>
    <n v="5"/>
    <n v="3"/>
    <n v="1"/>
    <n v="87.6"/>
    <n v="83.5"/>
    <n v="4"/>
    <n v="1"/>
    <n v="57.7"/>
    <n v="69.2"/>
    <n v="40.9"/>
    <n v="59.1"/>
    <n v="36940"/>
    <n v="37343"/>
    <n v="0.98920815146078245"/>
  </r>
  <r>
    <x v="13"/>
    <n v="4"/>
    <x v="13"/>
    <n v="0"/>
    <n v="65.2"/>
    <n v="34.799999999999997"/>
    <n v="21"/>
    <n v="5"/>
    <n v="8"/>
    <n v="0"/>
    <n v="9"/>
    <n v="3"/>
    <n v="4"/>
    <n v="2"/>
    <n v="89.5"/>
    <n v="80.7"/>
    <n v="6"/>
    <n v="0"/>
    <n v="53.3"/>
    <n v="47.4"/>
    <n v="52.4"/>
    <n v="47.6"/>
    <n v="50365"/>
    <n v="50400"/>
    <n v="0.99930555555555556"/>
  </r>
  <r>
    <x v="11"/>
    <n v="5"/>
    <x v="14"/>
    <n v="1"/>
    <n v="54.4"/>
    <n v="45.6"/>
    <n v="16"/>
    <n v="6"/>
    <n v="6"/>
    <n v="3"/>
    <n v="4"/>
    <n v="1"/>
    <n v="6"/>
    <n v="2"/>
    <n v="79.400000000000006"/>
    <n v="74.7"/>
    <n v="2"/>
    <n v="0"/>
    <n v="40"/>
    <n v="70"/>
    <n v="53.6"/>
    <n v="46.4"/>
    <n v="49067"/>
    <n v="49350"/>
    <n v="0.99426545086119555"/>
  </r>
  <r>
    <x v="10"/>
    <n v="0"/>
    <x v="6"/>
    <n v="1"/>
    <n v="58.9"/>
    <n v="41.1"/>
    <n v="14"/>
    <n v="8"/>
    <n v="4"/>
    <n v="3"/>
    <n v="5"/>
    <n v="4"/>
    <n v="5"/>
    <n v="1"/>
    <n v="87.9"/>
    <n v="81.400000000000006"/>
    <n v="1"/>
    <n v="1"/>
    <n v="52.9"/>
    <n v="80"/>
    <n v="52.2"/>
    <n v="47.8"/>
    <n v="28498"/>
    <n v="28876"/>
    <n v="0.98690954425820754"/>
  </r>
  <r>
    <x v="7"/>
    <n v="4"/>
    <x v="4"/>
    <n v="0"/>
    <n v="51.6"/>
    <n v="48.4"/>
    <n v="17"/>
    <n v="10"/>
    <n v="7"/>
    <n v="3"/>
    <n v="7"/>
    <n v="5"/>
    <n v="3"/>
    <n v="2"/>
    <n v="84.6"/>
    <n v="78"/>
    <n v="2"/>
    <n v="3"/>
    <n v="63.6"/>
    <n v="69.2"/>
    <n v="52.2"/>
    <n v="47.8"/>
    <n v="29202"/>
    <n v="29261"/>
    <n v="0.99798366426301222"/>
  </r>
  <r>
    <x v="13"/>
    <n v="6"/>
    <x v="15"/>
    <n v="3"/>
    <n v="53.9"/>
    <n v="46.1"/>
    <n v="22"/>
    <n v="12"/>
    <n v="10"/>
    <n v="8"/>
    <n v="6"/>
    <n v="1"/>
    <n v="6"/>
    <n v="3"/>
    <n v="88"/>
    <n v="85.7"/>
    <n v="3"/>
    <n v="0"/>
    <n v="57.1"/>
    <n v="35.700000000000003"/>
    <n v="62.5"/>
    <n v="37.5"/>
    <n v="50475"/>
    <n v="50400"/>
    <n v="1.0014880952380953"/>
  </r>
  <r>
    <x v="6"/>
    <n v="0"/>
    <x v="17"/>
    <n v="0"/>
    <n v="43.8"/>
    <n v="56.2"/>
    <n v="6"/>
    <n v="19"/>
    <n v="1"/>
    <n v="7"/>
    <n v="2"/>
    <n v="8"/>
    <n v="3"/>
    <n v="4"/>
    <n v="72"/>
    <n v="77.2"/>
    <n v="0"/>
    <n v="3"/>
    <n v="75"/>
    <n v="68.8"/>
    <n v="42.1"/>
    <n v="57.9"/>
    <n v="33582"/>
    <n v="35220"/>
    <n v="0.95349233390119248"/>
  </r>
  <r>
    <x v="0"/>
    <n v="3"/>
    <x v="6"/>
    <n v="1"/>
    <n v="64.7"/>
    <n v="35.299999999999997"/>
    <n v="22"/>
    <n v="7"/>
    <n v="9"/>
    <n v="3"/>
    <n v="9"/>
    <n v="2"/>
    <n v="4"/>
    <n v="2"/>
    <n v="90.4"/>
    <n v="78.2"/>
    <n v="1"/>
    <n v="1"/>
    <n v="71.400000000000006"/>
    <n v="62.5"/>
    <n v="56.3"/>
    <n v="43.8"/>
    <n v="57278"/>
    <n v="57704"/>
    <n v="0.99261749618743933"/>
  </r>
  <r>
    <x v="15"/>
    <n v="0"/>
    <x v="14"/>
    <n v="0"/>
    <n v="42"/>
    <n v="58"/>
    <n v="7"/>
    <n v="13"/>
    <n v="1"/>
    <n v="4"/>
    <n v="4"/>
    <n v="5"/>
    <n v="2"/>
    <n v="4"/>
    <n v="79.2"/>
    <n v="83"/>
    <n v="1"/>
    <n v="1"/>
    <n v="57.1"/>
    <n v="70"/>
    <n v="54.5"/>
    <n v="45.5"/>
    <n v="7126"/>
    <n v="9879"/>
    <n v="0.72132806964267637"/>
  </r>
  <r>
    <x v="4"/>
    <n v="1"/>
    <x v="10"/>
    <n v="2"/>
    <n v="36"/>
    <n v="64"/>
    <n v="7"/>
    <n v="13"/>
    <n v="3"/>
    <n v="3"/>
    <n v="4"/>
    <n v="7"/>
    <n v="0"/>
    <n v="3"/>
    <n v="77.900000000000006"/>
    <n v="88"/>
    <n v="1"/>
    <n v="0"/>
    <n v="55.6"/>
    <n v="56.3"/>
    <n v="45"/>
    <n v="55"/>
    <n v="22198"/>
    <n v="23486"/>
    <n v="0.94515881801924551"/>
  </r>
  <r>
    <x v="16"/>
    <n v="1"/>
    <x v="3"/>
    <n v="4"/>
    <n v="31.7"/>
    <n v="68.3"/>
    <n v="3"/>
    <n v="19"/>
    <n v="1"/>
    <n v="10"/>
    <n v="1"/>
    <n v="4"/>
    <n v="1"/>
    <n v="5"/>
    <n v="67.599999999999994"/>
    <n v="87.6"/>
    <n v="1"/>
    <n v="4"/>
    <n v="76.900000000000006"/>
    <n v="66.7"/>
    <n v="10"/>
    <n v="90"/>
    <n v="19913"/>
    <n v="25700"/>
    <n v="0.77482490272373539"/>
  </r>
  <r>
    <x v="17"/>
    <n v="3"/>
    <x v="1"/>
    <n v="3"/>
    <n v="53.8"/>
    <n v="46.2"/>
    <n v="15"/>
    <n v="6"/>
    <n v="7"/>
    <n v="6"/>
    <n v="6"/>
    <n v="0"/>
    <n v="2"/>
    <n v="0"/>
    <n v="81.5"/>
    <n v="78"/>
    <n v="4"/>
    <n v="5"/>
    <n v="64.3"/>
    <n v="39.1"/>
    <n v="57.9"/>
    <n v="42.1"/>
    <n v="50320"/>
    <n v="58000"/>
    <n v="0.86758620689655175"/>
  </r>
  <r>
    <x v="9"/>
    <n v="1"/>
    <x v="18"/>
    <n v="2"/>
    <n v="54.2"/>
    <n v="45.8"/>
    <n v="22"/>
    <n v="12"/>
    <n v="6"/>
    <n v="5"/>
    <n v="9"/>
    <n v="4"/>
    <n v="7"/>
    <n v="3"/>
    <n v="81.3"/>
    <n v="77.599999999999994"/>
    <n v="3"/>
    <n v="4"/>
    <n v="50"/>
    <n v="56.5"/>
    <n v="40.6"/>
    <n v="59.4"/>
    <n v="27510"/>
    <n v="29384"/>
    <n v="0.93622379526272803"/>
  </r>
  <r>
    <x v="12"/>
    <n v="2"/>
    <x v="0"/>
    <n v="0"/>
    <n v="39.1"/>
    <n v="60.9"/>
    <n v="18"/>
    <n v="15"/>
    <n v="5"/>
    <n v="4"/>
    <n v="5"/>
    <n v="7"/>
    <n v="8"/>
    <n v="4"/>
    <n v="80.900000000000006"/>
    <n v="87.2"/>
    <n v="0"/>
    <n v="1"/>
    <n v="59.1"/>
    <n v="58.3"/>
    <n v="64"/>
    <n v="36"/>
    <n v="59444"/>
    <n v="65013"/>
    <n v="0.91434020888130063"/>
  </r>
  <r>
    <x v="2"/>
    <n v="0"/>
    <x v="19"/>
    <n v="3"/>
    <n v="36.1"/>
    <n v="63.9"/>
    <n v="5"/>
    <n v="13"/>
    <n v="2"/>
    <n v="7"/>
    <n v="3"/>
    <n v="4"/>
    <n v="0"/>
    <n v="2"/>
    <n v="74.099999999999994"/>
    <n v="86"/>
    <n v="1"/>
    <n v="2"/>
    <n v="61.9"/>
    <n v="75"/>
    <n v="72.400000000000006"/>
    <n v="27.6"/>
    <n v="14122"/>
    <n v="15250"/>
    <n v="0.92603278688524593"/>
  </r>
  <r>
    <x v="5"/>
    <n v="1"/>
    <x v="7"/>
    <n v="0"/>
    <n v="53.6"/>
    <n v="46.4"/>
    <n v="7"/>
    <n v="14"/>
    <n v="2"/>
    <n v="4"/>
    <n v="4"/>
    <n v="3"/>
    <n v="1"/>
    <n v="7"/>
    <n v="83"/>
    <n v="79.599999999999994"/>
    <n v="0"/>
    <n v="0"/>
    <n v="61.1"/>
    <n v="38.9"/>
    <n v="47.6"/>
    <n v="52.4"/>
    <n v="36298"/>
    <n v="36572"/>
    <n v="0.99250792956360057"/>
  </r>
  <r>
    <x v="18"/>
    <n v="0"/>
    <x v="2"/>
    <n v="3"/>
    <n v="40.799999999999997"/>
    <n v="59.2"/>
    <n v="6"/>
    <n v="16"/>
    <n v="1"/>
    <n v="7"/>
    <n v="4"/>
    <n v="5"/>
    <n v="1"/>
    <n v="4"/>
    <n v="83.6"/>
    <n v="90.5"/>
    <n v="0"/>
    <n v="1"/>
    <n v="57.9"/>
    <n v="57.9"/>
    <n v="26.7"/>
    <n v="73.3"/>
    <n v="28578"/>
    <n v="29050"/>
    <n v="0.98375215146299488"/>
  </r>
  <r>
    <x v="11"/>
    <n v="1"/>
    <x v="5"/>
    <n v="1"/>
    <n v="72.400000000000006"/>
    <n v="27.6"/>
    <n v="20"/>
    <n v="10"/>
    <n v="7"/>
    <n v="3"/>
    <n v="8"/>
    <n v="5"/>
    <n v="5"/>
    <n v="2"/>
    <n v="86.5"/>
    <n v="67.3"/>
    <n v="0"/>
    <n v="1"/>
    <n v="75"/>
    <n v="77.8"/>
    <n v="56"/>
    <n v="44"/>
    <n v="49238"/>
    <n v="49350"/>
    <n v="0.99773049645390066"/>
  </r>
  <r>
    <x v="14"/>
    <n v="6"/>
    <x v="11"/>
    <n v="2"/>
    <n v="43.7"/>
    <n v="56.3"/>
    <n v="16"/>
    <n v="19"/>
    <n v="11"/>
    <n v="7"/>
    <n v="2"/>
    <n v="7"/>
    <n v="3"/>
    <n v="5"/>
    <n v="83.6"/>
    <n v="87.3"/>
    <n v="2"/>
    <n v="1"/>
    <n v="28.6"/>
    <n v="75"/>
    <n v="54.5"/>
    <n v="45.5"/>
    <n v="58450"/>
    <n v="59850"/>
    <n v="0.97660818713450293"/>
  </r>
  <r>
    <x v="1"/>
    <n v="1"/>
    <x v="13"/>
    <n v="0"/>
    <n v="52.7"/>
    <n v="47.3"/>
    <n v="11"/>
    <n v="7"/>
    <n v="3"/>
    <n v="1"/>
    <n v="3"/>
    <n v="3"/>
    <n v="5"/>
    <n v="3"/>
    <n v="74.3"/>
    <n v="73.7"/>
    <n v="1"/>
    <n v="0"/>
    <n v="54.3"/>
    <n v="64.3"/>
    <n v="59.2"/>
    <n v="40.799999999999997"/>
    <n v="37758"/>
    <n v="39000"/>
    <n v="0.96815384615384614"/>
  </r>
  <r>
    <x v="19"/>
    <n v="2"/>
    <x v="8"/>
    <n v="3"/>
    <n v="40.799999999999997"/>
    <n v="59.2"/>
    <n v="11"/>
    <n v="15"/>
    <n v="3"/>
    <n v="7"/>
    <n v="5"/>
    <n v="3"/>
    <n v="3"/>
    <n v="5"/>
    <n v="74.400000000000006"/>
    <n v="82.9"/>
    <n v="2"/>
    <n v="2"/>
    <n v="30"/>
    <n v="41.7"/>
    <n v="55.9"/>
    <n v="44.1"/>
    <n v="25654"/>
    <n v="27445"/>
    <n v="0.93474221169611948"/>
  </r>
  <r>
    <x v="10"/>
    <n v="5"/>
    <x v="11"/>
    <n v="2"/>
    <n v="53.5"/>
    <n v="46.5"/>
    <n v="23"/>
    <n v="6"/>
    <n v="11"/>
    <n v="4"/>
    <n v="5"/>
    <n v="1"/>
    <n v="7"/>
    <n v="1"/>
    <n v="85.4"/>
    <n v="82.6"/>
    <n v="3"/>
    <n v="2"/>
    <n v="70.599999999999994"/>
    <n v="61.5"/>
    <n v="47.6"/>
    <n v="52.4"/>
    <n v="28185"/>
    <n v="28876"/>
    <n v="0.97607009281063861"/>
  </r>
  <r>
    <x v="8"/>
    <n v="3"/>
    <x v="19"/>
    <n v="1"/>
    <n v="39.5"/>
    <n v="60.5"/>
    <n v="10"/>
    <n v="16"/>
    <n v="6"/>
    <n v="3"/>
    <n v="3"/>
    <n v="8"/>
    <n v="1"/>
    <n v="5"/>
    <n v="78.099999999999994"/>
    <n v="83.4"/>
    <n v="4"/>
    <n v="2"/>
    <n v="47.1"/>
    <n v="57.1"/>
    <n v="76.900000000000006"/>
    <n v="23.1"/>
    <n v="70431"/>
    <n v="71310"/>
    <n v="0.98767353807320146"/>
  </r>
  <r>
    <x v="5"/>
    <n v="0"/>
    <x v="9"/>
    <n v="0"/>
    <n v="39.1"/>
    <n v="60.9"/>
    <n v="14"/>
    <n v="23"/>
    <n v="3"/>
    <n v="8"/>
    <n v="6"/>
    <n v="9"/>
    <n v="5"/>
    <n v="6"/>
    <n v="71.900000000000006"/>
    <n v="81"/>
    <n v="1"/>
    <n v="0"/>
    <n v="57.9"/>
    <n v="80"/>
    <n v="39.1"/>
    <n v="60.9"/>
    <n v="36240"/>
    <n v="36572"/>
    <n v="0.9909220168434868"/>
  </r>
  <r>
    <x v="3"/>
    <n v="2"/>
    <x v="7"/>
    <n v="1"/>
    <n v="68.099999999999994"/>
    <n v="31.9"/>
    <n v="8"/>
    <n v="6"/>
    <n v="3"/>
    <n v="3"/>
    <n v="2"/>
    <n v="2"/>
    <n v="3"/>
    <n v="1"/>
    <n v="87.3"/>
    <n v="75.3"/>
    <n v="2"/>
    <n v="2"/>
    <n v="68.8"/>
    <n v="64.3"/>
    <n v="50"/>
    <n v="50"/>
    <n v="36923"/>
    <n v="37343"/>
    <n v="0.98875291219237871"/>
  </r>
  <r>
    <x v="11"/>
    <n v="0"/>
    <x v="16"/>
    <n v="0"/>
    <n v="51.7"/>
    <n v="48.3"/>
    <n v="23"/>
    <n v="19"/>
    <n v="6"/>
    <n v="9"/>
    <n v="7"/>
    <n v="4"/>
    <n v="10"/>
    <n v="6"/>
    <n v="78.8"/>
    <n v="77.900000000000006"/>
    <n v="3"/>
    <n v="0"/>
    <n v="61.1"/>
    <n v="73.900000000000006"/>
    <n v="50"/>
    <n v="50"/>
    <n v="48863"/>
    <n v="49350"/>
    <n v="0.9901317122593718"/>
  </r>
  <r>
    <x v="19"/>
    <n v="2"/>
    <x v="5"/>
    <n v="3"/>
    <n v="52.7"/>
    <n v="47.3"/>
    <n v="11"/>
    <n v="8"/>
    <n v="3"/>
    <n v="3"/>
    <n v="3"/>
    <n v="2"/>
    <n v="5"/>
    <n v="3"/>
    <n v="82.7"/>
    <n v="81.2"/>
    <n v="0"/>
    <n v="1"/>
    <n v="53.8"/>
    <n v="66.7"/>
    <n v="50"/>
    <n v="50"/>
    <n v="25720"/>
    <n v="27445"/>
    <n v="0.93714702131535799"/>
  </r>
  <r>
    <x v="14"/>
    <n v="2"/>
    <x v="8"/>
    <n v="1"/>
    <n v="51.9"/>
    <n v="48.1"/>
    <n v="23"/>
    <n v="9"/>
    <n v="10"/>
    <n v="3"/>
    <n v="7"/>
    <n v="5"/>
    <n v="6"/>
    <n v="1"/>
    <n v="88"/>
    <n v="85.7"/>
    <n v="1"/>
    <n v="0"/>
    <n v="47.4"/>
    <n v="61.1"/>
    <n v="60.7"/>
    <n v="39.299999999999997"/>
    <n v="58641"/>
    <n v="59850"/>
    <n v="0.97979949874686711"/>
  </r>
  <r>
    <x v="18"/>
    <n v="1"/>
    <x v="13"/>
    <n v="0"/>
    <n v="50.8"/>
    <n v="49.2"/>
    <n v="7"/>
    <n v="12"/>
    <n v="2"/>
    <n v="1"/>
    <n v="4"/>
    <n v="7"/>
    <n v="1"/>
    <n v="4"/>
    <n v="80.8"/>
    <n v="78.099999999999994"/>
    <n v="2"/>
    <n v="1"/>
    <n v="64.3"/>
    <n v="60"/>
    <n v="58.3"/>
    <n v="41.7"/>
    <n v="27546"/>
    <n v="29050"/>
    <n v="0.94822719449225479"/>
  </r>
  <r>
    <x v="1"/>
    <n v="1"/>
    <x v="2"/>
    <n v="1"/>
    <n v="27.7"/>
    <n v="72.3"/>
    <n v="3"/>
    <n v="13"/>
    <n v="1"/>
    <n v="4"/>
    <n v="1"/>
    <n v="5"/>
    <n v="1"/>
    <n v="4"/>
    <n v="70.7"/>
    <n v="88.2"/>
    <n v="0"/>
    <n v="4"/>
    <n v="60"/>
    <n v="38.5"/>
    <n v="32.5"/>
    <n v="67.5"/>
    <n v="38830"/>
    <n v="39000"/>
    <n v="0.99564102564102563"/>
  </r>
  <r>
    <x v="7"/>
    <n v="0"/>
    <x v="15"/>
    <n v="1"/>
    <n v="53.9"/>
    <n v="46.1"/>
    <n v="10"/>
    <n v="9"/>
    <n v="2"/>
    <n v="2"/>
    <n v="5"/>
    <n v="5"/>
    <n v="3"/>
    <n v="2"/>
    <n v="81.8"/>
    <n v="78"/>
    <n v="1"/>
    <n v="1"/>
    <n v="61.9"/>
    <n v="53.3"/>
    <n v="52.9"/>
    <n v="47.1"/>
    <n v="29226"/>
    <n v="29261"/>
    <n v="0.99880386863060044"/>
  </r>
  <r>
    <x v="0"/>
    <n v="2"/>
    <x v="17"/>
    <n v="1"/>
    <n v="58.9"/>
    <n v="41.1"/>
    <n v="22"/>
    <n v="4"/>
    <n v="9"/>
    <n v="3"/>
    <n v="6"/>
    <n v="1"/>
    <n v="7"/>
    <n v="0"/>
    <n v="84.9"/>
    <n v="77"/>
    <n v="2"/>
    <n v="0"/>
    <n v="70"/>
    <n v="37.5"/>
    <n v="52.4"/>
    <n v="47.6"/>
    <n v="57012"/>
    <n v="57704"/>
    <n v="0.98800776375987798"/>
  </r>
  <r>
    <x v="15"/>
    <n v="0"/>
    <x v="0"/>
    <n v="0"/>
    <n v="34.1"/>
    <n v="65.900000000000006"/>
    <n v="5"/>
    <n v="17"/>
    <n v="2"/>
    <n v="4"/>
    <n v="2"/>
    <n v="9"/>
    <n v="1"/>
    <n v="4"/>
    <n v="74.400000000000006"/>
    <n v="89.2"/>
    <n v="0"/>
    <n v="2"/>
    <n v="83.3"/>
    <n v="42.3"/>
    <n v="46.2"/>
    <n v="53.8"/>
    <n v="7113"/>
    <n v="9879"/>
    <n v="0.72001214697843907"/>
  </r>
  <r>
    <x v="13"/>
    <n v="6"/>
    <x v="4"/>
    <n v="0"/>
    <n v="74.900000000000006"/>
    <n v="25.1"/>
    <n v="17"/>
    <n v="8"/>
    <n v="9"/>
    <n v="1"/>
    <n v="6"/>
    <n v="4"/>
    <n v="2"/>
    <n v="3"/>
    <n v="91.7"/>
    <n v="73.599999999999994"/>
    <n v="4"/>
    <n v="2"/>
    <n v="84.6"/>
    <n v="57.1"/>
    <n v="68"/>
    <n v="32"/>
    <n v="50409"/>
    <n v="50400"/>
    <n v="1.0001785714285714"/>
  </r>
  <r>
    <x v="12"/>
    <n v="1"/>
    <x v="6"/>
    <n v="1"/>
    <n v="38.299999999999997"/>
    <n v="61.7"/>
    <n v="14"/>
    <n v="12"/>
    <n v="4"/>
    <n v="3"/>
    <n v="8"/>
    <n v="2"/>
    <n v="2"/>
    <n v="7"/>
    <n v="83.2"/>
    <n v="89.4"/>
    <n v="2"/>
    <n v="0"/>
    <n v="69.2"/>
    <n v="42.9"/>
    <n v="64.3"/>
    <n v="35.700000000000003"/>
    <n v="59450"/>
    <n v="65013"/>
    <n v="0.91443249811576144"/>
  </r>
  <r>
    <x v="17"/>
    <n v="2"/>
    <x v="3"/>
    <n v="1"/>
    <n v="71.8"/>
    <n v="28.2"/>
    <n v="23"/>
    <n v="5"/>
    <n v="6"/>
    <n v="2"/>
    <n v="8"/>
    <n v="3"/>
    <n v="9"/>
    <n v="0"/>
    <n v="83.7"/>
    <n v="63.7"/>
    <n v="1"/>
    <n v="1"/>
    <n v="71.400000000000006"/>
    <n v="39.1"/>
    <n v="40.5"/>
    <n v="59.5"/>
    <n v="50316"/>
    <n v="58000"/>
    <n v="0.8675172413793103"/>
  </r>
  <r>
    <x v="4"/>
    <n v="1"/>
    <x v="14"/>
    <n v="1"/>
    <n v="48.9"/>
    <n v="51.1"/>
    <n v="13"/>
    <n v="9"/>
    <n v="4"/>
    <n v="3"/>
    <n v="6"/>
    <n v="5"/>
    <n v="3"/>
    <n v="1"/>
    <n v="81.099999999999994"/>
    <n v="80.099999999999994"/>
    <n v="0"/>
    <n v="5"/>
    <n v="57.1"/>
    <n v="92.9"/>
    <n v="53.8"/>
    <n v="46.2"/>
    <n v="22043"/>
    <n v="23486"/>
    <n v="0.93855914161628207"/>
  </r>
  <r>
    <x v="16"/>
    <n v="2"/>
    <x v="1"/>
    <n v="1"/>
    <n v="39.1"/>
    <n v="60.9"/>
    <n v="10"/>
    <n v="7"/>
    <n v="3"/>
    <n v="4"/>
    <n v="7"/>
    <n v="3"/>
    <n v="0"/>
    <n v="0"/>
    <n v="74.7"/>
    <n v="83.7"/>
    <n v="1"/>
    <n v="1"/>
    <n v="57.7"/>
    <n v="52.2"/>
    <n v="58.1"/>
    <n v="41.9"/>
    <n v="19224"/>
    <n v="25700"/>
    <n v="0.74801556420233462"/>
  </r>
  <r>
    <x v="6"/>
    <n v="1"/>
    <x v="18"/>
    <n v="1"/>
    <n v="69.099999999999994"/>
    <n v="30.9"/>
    <n v="14"/>
    <n v="7"/>
    <n v="5"/>
    <n v="2"/>
    <n v="8"/>
    <n v="2"/>
    <n v="1"/>
    <n v="3"/>
    <n v="83.1"/>
    <n v="69.5"/>
    <n v="1"/>
    <n v="3"/>
    <n v="52"/>
    <n v="46.4"/>
    <n v="66.7"/>
    <n v="33.299999999999997"/>
    <n v="33338"/>
    <n v="35220"/>
    <n v="0.9465644520159"/>
  </r>
  <r>
    <x v="1"/>
    <n v="0"/>
    <x v="7"/>
    <n v="1"/>
    <n v="57.8"/>
    <n v="42.2"/>
    <n v="9"/>
    <n v="7"/>
    <n v="3"/>
    <n v="2"/>
    <n v="4"/>
    <n v="3"/>
    <n v="2"/>
    <n v="2"/>
    <n v="84"/>
    <n v="78.5"/>
    <n v="0"/>
    <n v="0"/>
    <n v="64.7"/>
    <n v="46.2"/>
    <n v="59.1"/>
    <n v="40.9"/>
    <n v="38796"/>
    <n v="39000"/>
    <n v="0.99476923076923074"/>
  </r>
  <r>
    <x v="18"/>
    <n v="1"/>
    <x v="3"/>
    <n v="1"/>
    <n v="36.1"/>
    <n v="63.9"/>
    <n v="10"/>
    <n v="21"/>
    <n v="4"/>
    <n v="6"/>
    <n v="2"/>
    <n v="4"/>
    <n v="4"/>
    <n v="11"/>
    <n v="69.400000000000006"/>
    <n v="82.1"/>
    <n v="1"/>
    <n v="0"/>
    <n v="45.5"/>
    <n v="66.7"/>
    <n v="40.700000000000003"/>
    <n v="59.3"/>
    <n v="28311"/>
    <n v="29050"/>
    <n v="0.9745611015490534"/>
  </r>
  <r>
    <x v="19"/>
    <n v="0"/>
    <x v="6"/>
    <n v="2"/>
    <n v="55.3"/>
    <n v="44.7"/>
    <n v="17"/>
    <n v="18"/>
    <n v="1"/>
    <n v="7"/>
    <n v="9"/>
    <n v="7"/>
    <n v="7"/>
    <n v="4"/>
    <n v="84.7"/>
    <n v="80.5"/>
    <n v="0"/>
    <n v="1"/>
    <n v="52.4"/>
    <n v="53.8"/>
    <n v="50"/>
    <n v="50"/>
    <n v="26296"/>
    <n v="27445"/>
    <n v="0.95813445071962111"/>
  </r>
  <r>
    <x v="9"/>
    <n v="0"/>
    <x v="15"/>
    <n v="1"/>
    <n v="48.3"/>
    <n v="51.7"/>
    <n v="17"/>
    <n v="11"/>
    <n v="5"/>
    <n v="6"/>
    <n v="10"/>
    <n v="2"/>
    <n v="2"/>
    <n v="3"/>
    <n v="73.099999999999994"/>
    <n v="74"/>
    <n v="1"/>
    <n v="1"/>
    <n v="47.1"/>
    <n v="57.1"/>
    <n v="42.2"/>
    <n v="57.8"/>
    <n v="28196"/>
    <n v="29384"/>
    <n v="0.95956983392322348"/>
  </r>
  <r>
    <x v="2"/>
    <n v="1"/>
    <x v="18"/>
    <n v="1"/>
    <n v="57.8"/>
    <n v="42.2"/>
    <n v="20"/>
    <n v="14"/>
    <n v="5"/>
    <n v="7"/>
    <n v="10"/>
    <n v="2"/>
    <n v="5"/>
    <n v="5"/>
    <n v="83.5"/>
    <n v="78.400000000000006"/>
    <n v="2"/>
    <n v="2"/>
    <n v="42.9"/>
    <n v="72.7"/>
    <n v="55.3"/>
    <n v="44.7"/>
    <n v="14009"/>
    <n v="15250"/>
    <n v="0.91862295081967216"/>
  </r>
  <r>
    <x v="10"/>
    <n v="1"/>
    <x v="12"/>
    <n v="0"/>
    <n v="42.8"/>
    <n v="57.2"/>
    <n v="13"/>
    <n v="10"/>
    <n v="4"/>
    <n v="2"/>
    <n v="8"/>
    <n v="3"/>
    <n v="1"/>
    <n v="5"/>
    <n v="70.8"/>
    <n v="75.599999999999994"/>
    <n v="2"/>
    <n v="0"/>
    <n v="71.400000000000006"/>
    <n v="54.5"/>
    <n v="58.3"/>
    <n v="41.7"/>
    <n v="27953"/>
    <n v="28876"/>
    <n v="0.96803573902202522"/>
  </r>
  <r>
    <x v="3"/>
    <n v="2"/>
    <x v="11"/>
    <n v="1"/>
    <n v="45.1"/>
    <n v="54.9"/>
    <n v="7"/>
    <n v="17"/>
    <n v="4"/>
    <n v="5"/>
    <n v="1"/>
    <n v="7"/>
    <n v="2"/>
    <n v="5"/>
    <n v="83.4"/>
    <n v="87"/>
    <n v="2"/>
    <n v="4"/>
    <n v="66.7"/>
    <n v="58.8"/>
    <n v="51.4"/>
    <n v="48.6"/>
    <n v="36953"/>
    <n v="37343"/>
    <n v="0.98955627560720882"/>
  </r>
  <r>
    <x v="17"/>
    <n v="9"/>
    <x v="5"/>
    <n v="0"/>
    <n v="69.400000000000006"/>
    <n v="30.6"/>
    <n v="19"/>
    <n v="5"/>
    <n v="12"/>
    <n v="2"/>
    <n v="6"/>
    <n v="2"/>
    <n v="1"/>
    <n v="1"/>
    <n v="86.5"/>
    <n v="69.599999999999994"/>
    <n v="3"/>
    <n v="0"/>
    <n v="83.3"/>
    <n v="60"/>
    <n v="56.3"/>
    <n v="43.8"/>
    <n v="50328"/>
    <n v="58000"/>
    <n v="0.86772413793103453"/>
  </r>
  <r>
    <x v="13"/>
    <n v="4"/>
    <x v="16"/>
    <n v="2"/>
    <n v="74.3"/>
    <n v="25.7"/>
    <n v="18"/>
    <n v="2"/>
    <n v="5"/>
    <n v="2"/>
    <n v="9"/>
    <n v="0"/>
    <n v="4"/>
    <n v="0"/>
    <n v="91.2"/>
    <n v="74"/>
    <n v="4"/>
    <n v="1"/>
    <n v="83.3"/>
    <n v="66.7"/>
    <n v="66.7"/>
    <n v="33.299999999999997"/>
    <n v="50112"/>
    <n v="50400"/>
    <n v="0.99428571428571433"/>
  </r>
  <r>
    <x v="0"/>
    <n v="2"/>
    <x v="8"/>
    <n v="1"/>
    <n v="72"/>
    <n v="28"/>
    <n v="22"/>
    <n v="11"/>
    <n v="8"/>
    <n v="3"/>
    <n v="4"/>
    <n v="6"/>
    <n v="10"/>
    <n v="2"/>
    <n v="85.5"/>
    <n v="61.9"/>
    <n v="2"/>
    <n v="0"/>
    <n v="73.3"/>
    <n v="45.8"/>
    <n v="33.299999999999997"/>
    <n v="66.7"/>
    <n v="57164"/>
    <n v="57704"/>
    <n v="0.99064189657562729"/>
  </r>
  <r>
    <x v="6"/>
    <n v="3"/>
    <x v="10"/>
    <n v="0"/>
    <n v="39.1"/>
    <n v="60.9"/>
    <n v="12"/>
    <n v="14"/>
    <n v="6"/>
    <n v="3"/>
    <n v="4"/>
    <n v="4"/>
    <n v="2"/>
    <n v="7"/>
    <n v="71.400000000000006"/>
    <n v="82"/>
    <n v="2"/>
    <n v="0"/>
    <n v="53.8"/>
    <n v="45.5"/>
    <n v="32.299999999999997"/>
    <n v="67.7"/>
    <n v="33372"/>
    <n v="35220"/>
    <n v="0.94752981260647362"/>
  </r>
  <r>
    <x v="12"/>
    <n v="0"/>
    <x v="1"/>
    <n v="2"/>
    <n v="49.6"/>
    <n v="50.4"/>
    <n v="13"/>
    <n v="11"/>
    <n v="3"/>
    <n v="2"/>
    <n v="3"/>
    <n v="5"/>
    <n v="7"/>
    <n v="4"/>
    <n v="80.5"/>
    <n v="81.400000000000006"/>
    <n v="0"/>
    <n v="2"/>
    <n v="62.5"/>
    <n v="41.2"/>
    <n v="69"/>
    <n v="31"/>
    <n v="59449"/>
    <n v="65013"/>
    <n v="0.91441711657668467"/>
  </r>
  <r>
    <x v="11"/>
    <n v="3"/>
    <x v="2"/>
    <n v="3"/>
    <n v="31.3"/>
    <n v="68.7"/>
    <n v="12"/>
    <n v="21"/>
    <n v="6"/>
    <n v="10"/>
    <n v="4"/>
    <n v="4"/>
    <n v="2"/>
    <n v="7"/>
    <n v="67.3"/>
    <n v="85.7"/>
    <n v="4"/>
    <n v="6"/>
    <n v="53.8"/>
    <n v="55.6"/>
    <n v="44.4"/>
    <n v="55.6"/>
    <n v="49258"/>
    <n v="49350"/>
    <n v="0.99813576494427558"/>
  </r>
  <r>
    <x v="14"/>
    <n v="1"/>
    <x v="0"/>
    <n v="0"/>
    <n v="49.9"/>
    <n v="50.1"/>
    <n v="11"/>
    <n v="20"/>
    <n v="4"/>
    <n v="3"/>
    <n v="5"/>
    <n v="8"/>
    <n v="2"/>
    <n v="9"/>
    <n v="87.1"/>
    <n v="83.6"/>
    <n v="1"/>
    <n v="0"/>
    <n v="44.4"/>
    <n v="66.7"/>
    <n v="35.700000000000003"/>
    <n v="64.3"/>
    <n v="58298"/>
    <n v="59850"/>
    <n v="0.97406850459482042"/>
  </r>
  <r>
    <x v="4"/>
    <n v="3"/>
    <x v="17"/>
    <n v="1"/>
    <n v="50.8"/>
    <n v="49.2"/>
    <n v="17"/>
    <n v="13"/>
    <n v="9"/>
    <n v="5"/>
    <n v="5"/>
    <n v="6"/>
    <n v="3"/>
    <n v="2"/>
    <n v="84.4"/>
    <n v="81.3"/>
    <n v="3"/>
    <n v="1"/>
    <n v="64.3"/>
    <n v="46.2"/>
    <n v="40.9"/>
    <n v="59.1"/>
    <n v="19012"/>
    <n v="23486"/>
    <n v="0.80950353402026742"/>
  </r>
  <r>
    <x v="5"/>
    <n v="1"/>
    <x v="4"/>
    <n v="1"/>
    <n v="48.3"/>
    <n v="51.7"/>
    <n v="19"/>
    <n v="14"/>
    <n v="8"/>
    <n v="5"/>
    <n v="6"/>
    <n v="6"/>
    <n v="5"/>
    <n v="3"/>
    <n v="77.400000000000006"/>
    <n v="73.400000000000006"/>
    <n v="1"/>
    <n v="0"/>
    <n v="61.5"/>
    <n v="77.3"/>
    <n v="40"/>
    <n v="60"/>
    <n v="36271"/>
    <n v="36572"/>
    <n v="0.99176965984906484"/>
  </r>
  <r>
    <x v="16"/>
    <n v="3"/>
    <x v="14"/>
    <n v="2"/>
    <n v="43.7"/>
    <n v="56.3"/>
    <n v="18"/>
    <n v="13"/>
    <n v="9"/>
    <n v="5"/>
    <n v="4"/>
    <n v="4"/>
    <n v="5"/>
    <n v="4"/>
    <n v="70.400000000000006"/>
    <n v="75.5"/>
    <n v="3"/>
    <n v="3"/>
    <n v="66.7"/>
    <n v="41.7"/>
    <n v="46.5"/>
    <n v="53.5"/>
    <n v="18798"/>
    <n v="25700"/>
    <n v="0.73143968871595333"/>
  </r>
  <r>
    <x v="7"/>
    <n v="1"/>
    <x v="13"/>
    <n v="2"/>
    <n v="62"/>
    <n v="38"/>
    <n v="6"/>
    <n v="9"/>
    <n v="1"/>
    <n v="3"/>
    <n v="3"/>
    <n v="5"/>
    <n v="2"/>
    <n v="1"/>
    <n v="81.7"/>
    <n v="71.599999999999994"/>
    <n v="0"/>
    <n v="3"/>
    <n v="73.3"/>
    <n v="63.2"/>
    <n v="45.9"/>
    <n v="54.1"/>
    <n v="27850"/>
    <n v="29261"/>
    <n v="0.951778818222207"/>
  </r>
  <r>
    <x v="15"/>
    <n v="0"/>
    <x v="19"/>
    <n v="3"/>
    <n v="41.8"/>
    <n v="58.2"/>
    <n v="6"/>
    <n v="14"/>
    <n v="1"/>
    <n v="6"/>
    <n v="5"/>
    <n v="4"/>
    <n v="0"/>
    <n v="4"/>
    <n v="78.8"/>
    <n v="89.1"/>
    <n v="0"/>
    <n v="2"/>
    <n v="36.4"/>
    <n v="57.1"/>
    <n v="44.4"/>
    <n v="55.6"/>
    <n v="7423"/>
    <n v="9879"/>
    <n v="0.75139184127948178"/>
  </r>
  <r>
    <x v="17"/>
    <n v="1"/>
    <x v="16"/>
    <n v="1"/>
    <n v="72.599999999999994"/>
    <n v="27.4"/>
    <n v="24"/>
    <n v="7"/>
    <n v="4"/>
    <n v="3"/>
    <n v="10"/>
    <n v="4"/>
    <n v="10"/>
    <n v="0"/>
    <n v="87"/>
    <n v="69"/>
    <n v="3"/>
    <n v="4"/>
    <n v="75"/>
    <n v="60.9"/>
    <n v="36"/>
    <n v="64"/>
    <n v="49970"/>
    <n v="58000"/>
    <n v="0.86155172413793102"/>
  </r>
  <r>
    <x v="19"/>
    <n v="1"/>
    <x v="7"/>
    <n v="0"/>
    <n v="43.2"/>
    <n v="56.8"/>
    <n v="13"/>
    <n v="19"/>
    <n v="6"/>
    <n v="5"/>
    <n v="4"/>
    <n v="8"/>
    <n v="3"/>
    <n v="6"/>
    <n v="66"/>
    <n v="74.5"/>
    <n v="2"/>
    <n v="0"/>
    <n v="50"/>
    <n v="37.5"/>
    <n v="47.4"/>
    <n v="52.6"/>
    <n v="26281"/>
    <n v="27445"/>
    <n v="0.95758790307888508"/>
  </r>
  <r>
    <x v="3"/>
    <n v="2"/>
    <x v="6"/>
    <n v="2"/>
    <n v="63.7"/>
    <n v="36.299999999999997"/>
    <n v="16"/>
    <n v="10"/>
    <n v="3"/>
    <n v="5"/>
    <n v="6"/>
    <n v="2"/>
    <n v="7"/>
    <n v="3"/>
    <n v="85.8"/>
    <n v="79.099999999999994"/>
    <n v="2"/>
    <n v="4"/>
    <n v="64.3"/>
    <n v="48"/>
    <n v="46.7"/>
    <n v="53.3"/>
    <n v="36946"/>
    <n v="37343"/>
    <n v="0.98936882414374849"/>
  </r>
  <r>
    <x v="1"/>
    <n v="2"/>
    <x v="18"/>
    <n v="1"/>
    <n v="57.5"/>
    <n v="42.5"/>
    <n v="12"/>
    <n v="15"/>
    <n v="4"/>
    <n v="4"/>
    <n v="4"/>
    <n v="2"/>
    <n v="4"/>
    <n v="9"/>
    <n v="84.1"/>
    <n v="77"/>
    <n v="3"/>
    <n v="0"/>
    <n v="60"/>
    <n v="68.8"/>
    <n v="53.8"/>
    <n v="46.2"/>
    <n v="38883"/>
    <n v="39000"/>
    <n v="0.997"/>
  </r>
  <r>
    <x v="0"/>
    <n v="4"/>
    <x v="11"/>
    <n v="2"/>
    <n v="49.9"/>
    <n v="50.1"/>
    <n v="19"/>
    <n v="6"/>
    <n v="7"/>
    <n v="2"/>
    <n v="8"/>
    <n v="3"/>
    <n v="4"/>
    <n v="1"/>
    <n v="83.5"/>
    <n v="81.099999999999994"/>
    <n v="3"/>
    <n v="1"/>
    <n v="75"/>
    <n v="58.3"/>
    <n v="57.6"/>
    <n v="42.4"/>
    <n v="57033"/>
    <n v="57704"/>
    <n v="0.98837169000415914"/>
  </r>
  <r>
    <x v="10"/>
    <n v="0"/>
    <x v="3"/>
    <n v="0"/>
    <n v="54.5"/>
    <n v="45.5"/>
    <n v="13"/>
    <n v="4"/>
    <n v="7"/>
    <n v="1"/>
    <n v="3"/>
    <n v="2"/>
    <n v="3"/>
    <n v="1"/>
    <n v="76.5"/>
    <n v="73.2"/>
    <n v="3"/>
    <n v="0"/>
    <n v="77.8"/>
    <n v="58.3"/>
    <n v="52.9"/>
    <n v="47.1"/>
    <n v="28552"/>
    <n v="28876"/>
    <n v="0.98877960936417786"/>
  </r>
  <r>
    <x v="13"/>
    <n v="4"/>
    <x v="5"/>
    <n v="0"/>
    <n v="66.7"/>
    <n v="33.299999999999997"/>
    <n v="19"/>
    <n v="3"/>
    <n v="7"/>
    <n v="1"/>
    <n v="6"/>
    <n v="1"/>
    <n v="6"/>
    <n v="1"/>
    <n v="93.2"/>
    <n v="81.599999999999994"/>
    <n v="2"/>
    <n v="0"/>
    <n v="50"/>
    <n v="50"/>
    <n v="52.9"/>
    <n v="47.1"/>
    <n v="50453"/>
    <n v="50400"/>
    <n v="1.0010515873015873"/>
  </r>
  <r>
    <x v="9"/>
    <n v="2"/>
    <x v="12"/>
    <n v="2"/>
    <n v="42.6"/>
    <n v="57.4"/>
    <n v="14"/>
    <n v="13"/>
    <n v="4"/>
    <n v="5"/>
    <n v="7"/>
    <n v="4"/>
    <n v="3"/>
    <n v="4"/>
    <n v="69.900000000000006"/>
    <n v="74"/>
    <n v="2"/>
    <n v="3"/>
    <n v="52.9"/>
    <n v="74.099999999999994"/>
    <n v="42.5"/>
    <n v="57.5"/>
    <n v="27815"/>
    <n v="29384"/>
    <n v="0.94660359379254011"/>
  </r>
  <r>
    <x v="18"/>
    <n v="0"/>
    <x v="8"/>
    <n v="0"/>
    <n v="59.6"/>
    <n v="40.4"/>
    <n v="7"/>
    <n v="9"/>
    <n v="1"/>
    <n v="3"/>
    <n v="5"/>
    <n v="5"/>
    <n v="1"/>
    <n v="1"/>
    <n v="79"/>
    <n v="71.599999999999994"/>
    <n v="2"/>
    <n v="1"/>
    <n v="61.1"/>
    <n v="42.1"/>
    <n v="53.6"/>
    <n v="46.4"/>
    <n v="28178"/>
    <n v="29050"/>
    <n v="0.96998278829604134"/>
  </r>
  <r>
    <x v="2"/>
    <n v="4"/>
    <x v="15"/>
    <n v="0"/>
    <n v="33.299999999999997"/>
    <n v="66.7"/>
    <n v="13"/>
    <n v="15"/>
    <n v="7"/>
    <n v="4"/>
    <n v="3"/>
    <n v="7"/>
    <n v="3"/>
    <n v="4"/>
    <n v="65.5"/>
    <n v="84.6"/>
    <n v="2"/>
    <n v="0"/>
    <n v="66.7"/>
    <n v="58.3"/>
    <n v="41.7"/>
    <n v="58.3"/>
    <n v="14051"/>
    <n v="15250"/>
    <n v="0.92137704918032792"/>
  </r>
  <r>
    <x v="7"/>
    <n v="2"/>
    <x v="14"/>
    <n v="2"/>
    <n v="55.4"/>
    <n v="44.6"/>
    <n v="14"/>
    <n v="8"/>
    <n v="5"/>
    <n v="3"/>
    <n v="6"/>
    <n v="4"/>
    <n v="3"/>
    <n v="1"/>
    <n v="87.9"/>
    <n v="84.5"/>
    <n v="0"/>
    <n v="2"/>
    <n v="69.2"/>
    <n v="60"/>
    <n v="48.3"/>
    <n v="51.7"/>
    <n v="28794"/>
    <n v="29261"/>
    <n v="0.98404019001401177"/>
  </r>
  <r>
    <x v="8"/>
    <n v="1"/>
    <x v="1"/>
    <n v="2"/>
    <n v="62.9"/>
    <n v="37.1"/>
    <n v="17"/>
    <n v="15"/>
    <n v="5"/>
    <n v="4"/>
    <n v="5"/>
    <n v="6"/>
    <n v="7"/>
    <n v="5"/>
    <n v="82.5"/>
    <n v="70.2"/>
    <n v="1"/>
    <n v="1"/>
    <n v="66.7"/>
    <n v="64.3"/>
    <n v="55"/>
    <n v="45"/>
    <n v="70711"/>
    <n v="71310"/>
    <n v="0.99160005609311452"/>
  </r>
  <r>
    <x v="12"/>
    <n v="0"/>
    <x v="2"/>
    <n v="2"/>
    <n v="24.6"/>
    <n v="75.400000000000006"/>
    <n v="6"/>
    <n v="14"/>
    <n v="1"/>
    <n v="2"/>
    <n v="2"/>
    <n v="8"/>
    <n v="3"/>
    <n v="4"/>
    <n v="78.3"/>
    <n v="92.9"/>
    <n v="0"/>
    <n v="3"/>
    <n v="42.9"/>
    <n v="66.7"/>
    <n v="47.6"/>
    <n v="52.4"/>
    <n v="59443"/>
    <n v="65013"/>
    <n v="0.91432482734222387"/>
  </r>
  <r>
    <x v="16"/>
    <n v="2"/>
    <x v="9"/>
    <n v="2"/>
    <n v="33.1"/>
    <n v="66.900000000000006"/>
    <n v="9"/>
    <n v="11"/>
    <n v="3"/>
    <n v="4"/>
    <n v="2"/>
    <n v="5"/>
    <n v="4"/>
    <n v="2"/>
    <n v="61.6"/>
    <n v="77.3"/>
    <n v="0"/>
    <n v="3"/>
    <n v="52"/>
    <n v="81.8"/>
    <n v="63.9"/>
    <n v="36.1"/>
    <n v="22000"/>
    <n v="25700"/>
    <n v="0.85603112840466922"/>
  </r>
  <r>
    <x v="15"/>
    <n v="2"/>
    <x v="17"/>
    <n v="0"/>
    <n v="34.4"/>
    <n v="65.599999999999994"/>
    <n v="7"/>
    <n v="15"/>
    <n v="3"/>
    <n v="2"/>
    <n v="2"/>
    <n v="7"/>
    <n v="2"/>
    <n v="6"/>
    <n v="70.099999999999994"/>
    <n v="83.9"/>
    <n v="1"/>
    <n v="0"/>
    <n v="60"/>
    <n v="80"/>
    <n v="50"/>
    <n v="50"/>
    <n v="7000"/>
    <n v="9879"/>
    <n v="0.70857374228160741"/>
  </r>
  <r>
    <x v="6"/>
    <n v="2"/>
    <x v="0"/>
    <n v="1"/>
    <n v="40.1"/>
    <n v="59.9"/>
    <n v="12"/>
    <n v="15"/>
    <n v="4"/>
    <n v="6"/>
    <n v="5"/>
    <n v="6"/>
    <n v="3"/>
    <n v="3"/>
    <n v="75.8"/>
    <n v="84.8"/>
    <n v="2"/>
    <n v="1"/>
    <n v="66.7"/>
    <n v="68.8"/>
    <n v="56.3"/>
    <n v="43.8"/>
    <n v="33347"/>
    <n v="35220"/>
    <n v="0.94681998864281658"/>
  </r>
  <r>
    <x v="11"/>
    <n v="2"/>
    <x v="4"/>
    <n v="0"/>
    <n v="61.4"/>
    <n v="38.6"/>
    <n v="23"/>
    <n v="5"/>
    <n v="10"/>
    <n v="0"/>
    <n v="8"/>
    <n v="3"/>
    <n v="5"/>
    <n v="2"/>
    <n v="80.8"/>
    <n v="70.400000000000006"/>
    <n v="2"/>
    <n v="0"/>
    <n v="68.400000000000006"/>
    <n v="73.3"/>
    <n v="42.9"/>
    <n v="57.1"/>
    <n v="49245"/>
    <n v="49350"/>
    <n v="0.99787234042553197"/>
  </r>
  <r>
    <x v="14"/>
    <n v="4"/>
    <x v="13"/>
    <n v="1"/>
    <n v="57.5"/>
    <n v="42.5"/>
    <n v="18"/>
    <n v="10"/>
    <n v="8"/>
    <n v="2"/>
    <n v="6"/>
    <n v="5"/>
    <n v="4"/>
    <n v="3"/>
    <n v="85"/>
    <n v="82.2"/>
    <n v="1"/>
    <n v="0"/>
    <n v="62.5"/>
    <n v="42.9"/>
    <n v="54.2"/>
    <n v="45.8"/>
    <n v="58732"/>
    <n v="59850"/>
    <n v="0.98131996658312448"/>
  </r>
  <r>
    <x v="5"/>
    <n v="0"/>
    <x v="10"/>
    <n v="1"/>
    <n v="37.299999999999997"/>
    <n v="62.7"/>
    <n v="8"/>
    <n v="15"/>
    <n v="4"/>
    <n v="6"/>
    <n v="3"/>
    <n v="3"/>
    <n v="1"/>
    <n v="6"/>
    <n v="73.400000000000006"/>
    <n v="86.6"/>
    <n v="0"/>
    <n v="1"/>
    <n v="70.8"/>
    <n v="47.4"/>
    <n v="35.299999999999997"/>
    <n v="64.7"/>
    <n v="36254"/>
    <n v="36572"/>
    <n v="0.99130482336213499"/>
  </r>
  <r>
    <x v="4"/>
    <n v="0"/>
    <x v="19"/>
    <n v="2"/>
    <n v="56.3"/>
    <n v="43.7"/>
    <n v="10"/>
    <n v="10"/>
    <n v="2"/>
    <n v="2"/>
    <n v="2"/>
    <n v="4"/>
    <n v="6"/>
    <n v="4"/>
    <n v="86.7"/>
    <n v="82.2"/>
    <n v="2"/>
    <n v="1"/>
    <n v="50"/>
    <n v="55.2"/>
    <n v="41.7"/>
    <n v="58.3"/>
    <n v="22286"/>
    <n v="23486"/>
    <n v="0.94890573107383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3">
  <r>
    <d v="2022-08-05T00:00:00"/>
    <s v="Selhurst Park"/>
    <n v="25286"/>
    <s v="Crystal Palace"/>
    <n v="0"/>
    <s v="Arsenal"/>
    <n v="2"/>
    <n v="56.3"/>
    <n v="43.7"/>
    <n v="10"/>
    <n v="10"/>
    <n v="2"/>
    <n v="2"/>
    <n v="2"/>
    <n v="4"/>
    <n v="6"/>
    <n v="4"/>
    <n v="86.7"/>
    <n v="82.2"/>
    <n v="2"/>
    <n v="1"/>
    <n v="50"/>
    <n v="55.2"/>
    <n v="41.7"/>
    <n v="58.3"/>
    <n v="22286"/>
    <n v="23486"/>
    <x v="0"/>
    <n v="94"/>
  </r>
  <r>
    <d v="2022-08-06T00:00:00"/>
    <s v="Vitality Stadium"/>
    <n v="10000"/>
    <s v="Bournemouth"/>
    <n v="2"/>
    <s v="Aston Villa"/>
    <n v="0"/>
    <n v="34.4"/>
    <n v="65.599999999999994"/>
    <n v="7"/>
    <n v="15"/>
    <n v="3"/>
    <n v="2"/>
    <n v="2"/>
    <n v="7"/>
    <n v="2"/>
    <n v="6"/>
    <n v="70.099999999999994"/>
    <n v="83.9"/>
    <n v="1"/>
    <n v="0"/>
    <n v="60"/>
    <n v="80"/>
    <n v="50"/>
    <n v="50"/>
    <n v="7000"/>
    <n v="9879"/>
    <x v="1"/>
    <n v="70"/>
  </r>
  <r>
    <d v="2022-08-06T00:00:00"/>
    <s v="Craven Cottage"/>
    <n v="25000"/>
    <s v="Fulham"/>
    <n v="2"/>
    <s v="Liverpool"/>
    <n v="2"/>
    <n v="33.1"/>
    <n v="66.900000000000006"/>
    <n v="9"/>
    <n v="11"/>
    <n v="3"/>
    <n v="4"/>
    <n v="2"/>
    <n v="5"/>
    <n v="4"/>
    <n v="2"/>
    <n v="61.6"/>
    <n v="77.3"/>
    <n v="0"/>
    <n v="3"/>
    <n v="52"/>
    <n v="81.8"/>
    <n v="63.9"/>
    <n v="36.1"/>
    <n v="22000"/>
    <n v="25700"/>
    <x v="2"/>
    <n v="85"/>
  </r>
  <r>
    <d v="2022-08-06T00:00:00"/>
    <s v="Elland Road"/>
    <n v="36347"/>
    <s v="Leeds United"/>
    <n v="2"/>
    <s v="Wolverhampton Wanderers"/>
    <n v="1"/>
    <n v="40.1"/>
    <n v="59.9"/>
    <n v="12"/>
    <n v="15"/>
    <n v="4"/>
    <n v="6"/>
    <n v="5"/>
    <n v="6"/>
    <n v="3"/>
    <n v="3"/>
    <n v="75.8"/>
    <n v="84.8"/>
    <n v="2"/>
    <n v="1"/>
    <n v="66.7"/>
    <n v="68.8"/>
    <n v="56.3"/>
    <n v="43.8"/>
    <n v="33347"/>
    <n v="35220"/>
    <x v="0"/>
    <n v="94"/>
  </r>
  <r>
    <d v="2022-08-06T00:00:00"/>
    <s v="Tottenham Hotspur Stadium"/>
    <n v="61732"/>
    <s v="Tottenham Hotspur"/>
    <n v="4"/>
    <s v="Southampton"/>
    <n v="1"/>
    <n v="57.5"/>
    <n v="42.5"/>
    <n v="18"/>
    <n v="10"/>
    <n v="8"/>
    <n v="2"/>
    <n v="6"/>
    <n v="5"/>
    <n v="4"/>
    <n v="3"/>
    <n v="85"/>
    <n v="82.2"/>
    <n v="1"/>
    <n v="0"/>
    <n v="62.5"/>
    <n v="42.9"/>
    <n v="54.2"/>
    <n v="45.8"/>
    <n v="58732"/>
    <n v="59850"/>
    <x v="3"/>
    <n v="98"/>
  </r>
  <r>
    <d v="2022-08-06T00:00:00"/>
    <s v="St James' Park, Newcastle"/>
    <n v="52245"/>
    <s v="Newcastle United"/>
    <n v="2"/>
    <s v="Nottingham Forest"/>
    <n v="0"/>
    <n v="61.4"/>
    <n v="38.6"/>
    <n v="23"/>
    <n v="5"/>
    <n v="10"/>
    <n v="0"/>
    <n v="8"/>
    <n v="3"/>
    <n v="5"/>
    <n v="2"/>
    <n v="80.8"/>
    <n v="70.400000000000006"/>
    <n v="2"/>
    <n v="0"/>
    <n v="68.400000000000006"/>
    <n v="73.3"/>
    <n v="42.9"/>
    <n v="57.1"/>
    <n v="49245"/>
    <n v="49350"/>
    <x v="4"/>
    <n v="99"/>
  </r>
  <r>
    <d v="2022-08-06T00:00:00"/>
    <s v="Goodison Park"/>
    <n v="39254"/>
    <s v="Everton"/>
    <n v="0"/>
    <s v="Chelsea"/>
    <n v="1"/>
    <n v="37.299999999999997"/>
    <n v="62.7"/>
    <n v="8"/>
    <n v="15"/>
    <n v="4"/>
    <n v="6"/>
    <n v="3"/>
    <n v="3"/>
    <n v="1"/>
    <n v="6"/>
    <n v="73.400000000000006"/>
    <n v="86.6"/>
    <n v="0"/>
    <n v="1"/>
    <n v="70.8"/>
    <n v="47.4"/>
    <n v="35.299999999999997"/>
    <n v="64.7"/>
    <n v="36254"/>
    <n v="36572"/>
    <x v="4"/>
    <n v="99"/>
  </r>
  <r>
    <d v="2022-08-07T00:00:00"/>
    <s v="London Stadium"/>
    <n v="62443"/>
    <s v="West Ham United"/>
    <n v="0"/>
    <s v="Manchester City"/>
    <n v="2"/>
    <n v="24.6"/>
    <n v="75.400000000000006"/>
    <n v="6"/>
    <n v="14"/>
    <n v="1"/>
    <n v="2"/>
    <n v="2"/>
    <n v="8"/>
    <n v="3"/>
    <n v="4"/>
    <n v="78.3"/>
    <n v="92.9"/>
    <n v="0"/>
    <n v="3"/>
    <n v="42.9"/>
    <n v="66.7"/>
    <n v="47.6"/>
    <n v="52.4"/>
    <n v="59443"/>
    <n v="65013"/>
    <x v="5"/>
    <n v="91"/>
  </r>
  <r>
    <d v="2022-08-07T00:00:00"/>
    <s v="The King Power Stadium"/>
    <n v="31794"/>
    <s v="Leicester City"/>
    <n v="2"/>
    <s v="Brentford"/>
    <n v="2"/>
    <n v="55.4"/>
    <n v="44.6"/>
    <n v="14"/>
    <n v="8"/>
    <n v="5"/>
    <n v="3"/>
    <n v="6"/>
    <n v="4"/>
    <n v="3"/>
    <n v="1"/>
    <n v="87.9"/>
    <n v="84.5"/>
    <n v="0"/>
    <n v="2"/>
    <n v="69.2"/>
    <n v="60"/>
    <n v="48.3"/>
    <n v="51.7"/>
    <n v="28794"/>
    <n v="29261"/>
    <x v="3"/>
    <n v="98"/>
  </r>
  <r>
    <d v="2022-08-07T00:00:00"/>
    <s v="Old Trafford"/>
    <n v="73711"/>
    <s v="Manchester United"/>
    <n v="1"/>
    <s v="Brighton and Hove Albion"/>
    <n v="2"/>
    <n v="62.9"/>
    <n v="37.1"/>
    <n v="17"/>
    <n v="15"/>
    <n v="5"/>
    <n v="4"/>
    <n v="5"/>
    <n v="6"/>
    <n v="7"/>
    <n v="5"/>
    <n v="82.5"/>
    <n v="70.2"/>
    <n v="1"/>
    <n v="1"/>
    <n v="66.7"/>
    <n v="64.3"/>
    <n v="55"/>
    <n v="45"/>
    <n v="70711"/>
    <n v="71310"/>
    <x v="4"/>
    <n v="99"/>
  </r>
  <r>
    <d v="2022-08-13T00:00:00"/>
    <s v="Gtech Community Stadium"/>
    <n v="17051"/>
    <s v="Brentford"/>
    <n v="4"/>
    <s v="Manchester United"/>
    <n v="0"/>
    <n v="33.299999999999997"/>
    <n v="66.7"/>
    <n v="13"/>
    <n v="15"/>
    <n v="7"/>
    <n v="4"/>
    <n v="3"/>
    <n v="7"/>
    <n v="3"/>
    <n v="4"/>
    <n v="65.5"/>
    <n v="84.6"/>
    <n v="2"/>
    <n v="0"/>
    <n v="66.7"/>
    <n v="58.3"/>
    <n v="41.7"/>
    <n v="58.3"/>
    <n v="14051"/>
    <n v="15250"/>
    <x v="6"/>
    <n v="92"/>
  </r>
  <r>
    <d v="2022-08-13T00:00:00"/>
    <s v="St. Mary's Stadium"/>
    <n v="30815"/>
    <s v="Southampton"/>
    <n v="2"/>
    <s v="Leeds United"/>
    <n v="2"/>
    <n v="42.6"/>
    <n v="57.4"/>
    <n v="14"/>
    <n v="13"/>
    <n v="4"/>
    <n v="5"/>
    <n v="7"/>
    <n v="4"/>
    <n v="3"/>
    <n v="4"/>
    <n v="69.900000000000006"/>
    <n v="74"/>
    <n v="2"/>
    <n v="3"/>
    <n v="52.9"/>
    <n v="74.099999999999994"/>
    <n v="42.5"/>
    <n v="57.5"/>
    <n v="27815"/>
    <n v="29384"/>
    <x v="0"/>
    <n v="94"/>
  </r>
  <r>
    <d v="2022-08-13T00:00:00"/>
    <s v="Molineux"/>
    <n v="31178"/>
    <s v="Wolverhampton Wanderers"/>
    <n v="0"/>
    <s v="Fulham"/>
    <n v="0"/>
    <n v="59.6"/>
    <n v="40.4"/>
    <n v="7"/>
    <n v="9"/>
    <n v="1"/>
    <n v="3"/>
    <n v="5"/>
    <n v="5"/>
    <n v="1"/>
    <n v="1"/>
    <n v="79"/>
    <n v="71.599999999999994"/>
    <n v="2"/>
    <n v="1"/>
    <n v="61.1"/>
    <n v="42.1"/>
    <n v="53.6"/>
    <n v="46.4"/>
    <n v="28178"/>
    <n v="29050"/>
    <x v="7"/>
    <n v="96"/>
  </r>
  <r>
    <d v="2022-08-13T00:00:00"/>
    <s v="Emirates Stadium"/>
    <n v="60033"/>
    <s v="Arsenal"/>
    <n v="4"/>
    <s v="Leicester City"/>
    <n v="2"/>
    <n v="49.9"/>
    <n v="50.1"/>
    <n v="19"/>
    <n v="6"/>
    <n v="7"/>
    <n v="2"/>
    <n v="8"/>
    <n v="3"/>
    <n v="4"/>
    <n v="1"/>
    <n v="83.5"/>
    <n v="81.099999999999994"/>
    <n v="3"/>
    <n v="1"/>
    <n v="75"/>
    <n v="58.3"/>
    <n v="57.6"/>
    <n v="42.4"/>
    <n v="57033"/>
    <n v="57704"/>
    <x v="3"/>
    <n v="98"/>
  </r>
  <r>
    <d v="2022-08-13T00:00:00"/>
    <s v="Amex Stadium"/>
    <n v="31552"/>
    <s v="Brighton and Hove Albion"/>
    <n v="0"/>
    <s v="Newcastle United"/>
    <n v="0"/>
    <n v="54.5"/>
    <n v="45.5"/>
    <n v="13"/>
    <n v="4"/>
    <n v="7"/>
    <n v="1"/>
    <n v="3"/>
    <n v="2"/>
    <n v="3"/>
    <n v="1"/>
    <n v="76.5"/>
    <n v="73.2"/>
    <n v="3"/>
    <n v="0"/>
    <n v="77.8"/>
    <n v="58.3"/>
    <n v="52.9"/>
    <n v="47.1"/>
    <n v="28552"/>
    <n v="28876"/>
    <x v="3"/>
    <n v="98"/>
  </r>
  <r>
    <d v="2022-08-13T00:00:00"/>
    <s v="Villa Park"/>
    <n v="41883"/>
    <s v="Aston Villa"/>
    <n v="2"/>
    <s v="Everton"/>
    <n v="1"/>
    <n v="57.5"/>
    <n v="42.5"/>
    <n v="12"/>
    <n v="15"/>
    <n v="4"/>
    <n v="4"/>
    <n v="4"/>
    <n v="2"/>
    <n v="4"/>
    <n v="9"/>
    <n v="84.1"/>
    <n v="77"/>
    <n v="3"/>
    <n v="0"/>
    <n v="60"/>
    <n v="68.8"/>
    <n v="53.8"/>
    <n v="46.2"/>
    <n v="38883"/>
    <n v="39000"/>
    <x v="4"/>
    <n v="99"/>
  </r>
  <r>
    <d v="2022-08-13T00:00:00"/>
    <s v="Etihad Stadium"/>
    <n v="53453"/>
    <s v="Manchester City"/>
    <n v="4"/>
    <s v="Bournemouth"/>
    <n v="0"/>
    <n v="66.7"/>
    <n v="33.299999999999997"/>
    <n v="19"/>
    <n v="3"/>
    <n v="7"/>
    <n v="1"/>
    <n v="6"/>
    <n v="1"/>
    <n v="6"/>
    <n v="1"/>
    <n v="93.2"/>
    <n v="81.599999999999994"/>
    <n v="2"/>
    <n v="0"/>
    <n v="50"/>
    <n v="50"/>
    <n v="52.9"/>
    <n v="47.1"/>
    <n v="50453"/>
    <n v="50400"/>
    <x v="8"/>
    <n v="100"/>
  </r>
  <r>
    <d v="2022-08-14T00:00:00"/>
    <s v="The City Ground"/>
    <n v="29281"/>
    <s v="Nottingham Forest"/>
    <n v="1"/>
    <s v="West Ham United"/>
    <n v="0"/>
    <n v="43.2"/>
    <n v="56.8"/>
    <n v="13"/>
    <n v="19"/>
    <n v="6"/>
    <n v="5"/>
    <n v="4"/>
    <n v="8"/>
    <n v="3"/>
    <n v="6"/>
    <n v="66"/>
    <n v="74.5"/>
    <n v="2"/>
    <n v="0"/>
    <n v="50"/>
    <n v="37.5"/>
    <n v="47.4"/>
    <n v="52.6"/>
    <n v="26281"/>
    <n v="27445"/>
    <x v="9"/>
    <n v="95"/>
  </r>
  <r>
    <d v="2022-08-14T00:00:00"/>
    <s v="Stamford Bridge"/>
    <n v="39946"/>
    <s v="Chelsea"/>
    <n v="2"/>
    <s v="Tottenham Hotspur"/>
    <n v="2"/>
    <n v="63.7"/>
    <n v="36.299999999999997"/>
    <n v="16"/>
    <n v="10"/>
    <n v="3"/>
    <n v="5"/>
    <n v="6"/>
    <n v="2"/>
    <n v="7"/>
    <n v="3"/>
    <n v="85.8"/>
    <n v="79.099999999999994"/>
    <n v="2"/>
    <n v="4"/>
    <n v="64.3"/>
    <n v="48"/>
    <n v="46.7"/>
    <n v="53.3"/>
    <n v="36946"/>
    <n v="37343"/>
    <x v="3"/>
    <n v="98"/>
  </r>
  <r>
    <d v="2022-08-15T00:00:00"/>
    <s v="Anfield"/>
    <n v="52970"/>
    <s v="Liverpool"/>
    <n v="1"/>
    <s v="Crystal Palace"/>
    <n v="1"/>
    <n v="72.599999999999994"/>
    <n v="27.4"/>
    <n v="24"/>
    <n v="7"/>
    <n v="4"/>
    <n v="3"/>
    <n v="10"/>
    <n v="4"/>
    <n v="10"/>
    <n v="0"/>
    <n v="87"/>
    <n v="69"/>
    <n v="3"/>
    <n v="4"/>
    <n v="75"/>
    <n v="60.9"/>
    <n v="36"/>
    <n v="64"/>
    <n v="49970"/>
    <n v="58000"/>
    <x v="10"/>
    <n v="86"/>
  </r>
  <r>
    <d v="2022-08-20T00:00:00"/>
    <s v="Craven Cottage"/>
    <n v="21798"/>
    <s v="Fulham"/>
    <n v="3"/>
    <s v="Brentford"/>
    <n v="2"/>
    <n v="43.7"/>
    <n v="56.3"/>
    <n v="18"/>
    <n v="13"/>
    <n v="9"/>
    <n v="5"/>
    <n v="4"/>
    <n v="4"/>
    <n v="5"/>
    <n v="4"/>
    <n v="70.400000000000006"/>
    <n v="75.5"/>
    <n v="3"/>
    <n v="3"/>
    <n v="66.7"/>
    <n v="41.7"/>
    <n v="46.5"/>
    <n v="53.5"/>
    <n v="18798"/>
    <n v="25700"/>
    <x v="11"/>
    <n v="73"/>
  </r>
  <r>
    <d v="2022-08-20T00:00:00"/>
    <s v="Vitality Stadium"/>
    <n v="10423"/>
    <s v="Bournemouth"/>
    <n v="0"/>
    <s v="Arsenal"/>
    <n v="3"/>
    <n v="41.8"/>
    <n v="58.2"/>
    <n v="6"/>
    <n v="14"/>
    <n v="1"/>
    <n v="6"/>
    <n v="5"/>
    <n v="4"/>
    <n v="0"/>
    <n v="4"/>
    <n v="78.8"/>
    <n v="89.1"/>
    <n v="0"/>
    <n v="2"/>
    <n v="36.4"/>
    <n v="57.1"/>
    <n v="44.4"/>
    <n v="55.6"/>
    <n v="7423"/>
    <n v="9879"/>
    <x v="12"/>
    <n v="75"/>
  </r>
  <r>
    <d v="2022-08-20T00:00:00"/>
    <s v="Selhurst Park"/>
    <n v="22012"/>
    <s v="Crystal Palace"/>
    <n v="3"/>
    <s v="Aston Villa"/>
    <n v="1"/>
    <n v="50.8"/>
    <n v="49.2"/>
    <n v="17"/>
    <n v="13"/>
    <n v="9"/>
    <n v="5"/>
    <n v="5"/>
    <n v="6"/>
    <n v="3"/>
    <n v="2"/>
    <n v="84.4"/>
    <n v="81.3"/>
    <n v="3"/>
    <n v="1"/>
    <n v="64.3"/>
    <n v="46.2"/>
    <n v="40.9"/>
    <n v="59.1"/>
    <n v="19012"/>
    <n v="23486"/>
    <x v="13"/>
    <n v="80"/>
  </r>
  <r>
    <d v="2022-08-20T00:00:00"/>
    <s v="The King Power Stadium"/>
    <n v="30850"/>
    <s v="Leicester City"/>
    <n v="1"/>
    <s v="Southampton"/>
    <n v="2"/>
    <n v="62"/>
    <n v="38"/>
    <n v="6"/>
    <n v="9"/>
    <n v="1"/>
    <n v="3"/>
    <n v="3"/>
    <n v="5"/>
    <n v="2"/>
    <n v="1"/>
    <n v="81.7"/>
    <n v="71.599999999999994"/>
    <n v="0"/>
    <n v="3"/>
    <n v="73.3"/>
    <n v="63.2"/>
    <n v="45.9"/>
    <n v="54.1"/>
    <n v="27850"/>
    <n v="29261"/>
    <x v="9"/>
    <n v="95"/>
  </r>
  <r>
    <d v="2022-08-20T00:00:00"/>
    <s v="Tottenham Hotspur Stadium"/>
    <n v="61298"/>
    <s v="Tottenham Hotspur"/>
    <n v="1"/>
    <s v="Wolverhampton Wanderers"/>
    <n v="0"/>
    <n v="49.9"/>
    <n v="50.1"/>
    <n v="11"/>
    <n v="20"/>
    <n v="4"/>
    <n v="3"/>
    <n v="5"/>
    <n v="8"/>
    <n v="2"/>
    <n v="9"/>
    <n v="87.1"/>
    <n v="83.6"/>
    <n v="1"/>
    <n v="0"/>
    <n v="44.4"/>
    <n v="66.7"/>
    <n v="35.700000000000003"/>
    <n v="64.3"/>
    <n v="58298"/>
    <n v="59850"/>
    <x v="14"/>
    <n v="97"/>
  </r>
  <r>
    <d v="2022-08-20T00:00:00"/>
    <s v="Goodison Park"/>
    <n v="39271"/>
    <s v="Everton"/>
    <n v="1"/>
    <s v="Nottingham Forest"/>
    <n v="1"/>
    <n v="48.3"/>
    <n v="51.7"/>
    <n v="19"/>
    <n v="14"/>
    <n v="8"/>
    <n v="5"/>
    <n v="6"/>
    <n v="6"/>
    <n v="5"/>
    <n v="3"/>
    <n v="77.400000000000006"/>
    <n v="73.400000000000006"/>
    <n v="1"/>
    <n v="0"/>
    <n v="61.5"/>
    <n v="77.3"/>
    <n v="40"/>
    <n v="60"/>
    <n v="36271"/>
    <n v="36572"/>
    <x v="4"/>
    <n v="99"/>
  </r>
  <r>
    <d v="2022-08-21T00:00:00"/>
    <s v="London Stadium"/>
    <n v="62449"/>
    <s v="West Ham United"/>
    <n v="0"/>
    <s v="Brighton and Hove Albion"/>
    <n v="2"/>
    <n v="49.6"/>
    <n v="50.4"/>
    <n v="13"/>
    <n v="11"/>
    <n v="3"/>
    <n v="2"/>
    <n v="3"/>
    <n v="5"/>
    <n v="7"/>
    <n v="4"/>
    <n v="80.5"/>
    <n v="81.400000000000006"/>
    <n v="0"/>
    <n v="2"/>
    <n v="62.5"/>
    <n v="41.2"/>
    <n v="69"/>
    <n v="31"/>
    <n v="59449"/>
    <n v="65013"/>
    <x v="5"/>
    <n v="91"/>
  </r>
  <r>
    <d v="2022-08-21T00:00:00"/>
    <s v="Elland Road"/>
    <n v="36372"/>
    <s v="Leeds United"/>
    <n v="3"/>
    <s v="Chelsea"/>
    <n v="0"/>
    <n v="39.1"/>
    <n v="60.9"/>
    <n v="12"/>
    <n v="14"/>
    <n v="6"/>
    <n v="3"/>
    <n v="4"/>
    <n v="4"/>
    <n v="2"/>
    <n v="7"/>
    <n v="71.400000000000006"/>
    <n v="82"/>
    <n v="2"/>
    <n v="0"/>
    <n v="53.8"/>
    <n v="45.5"/>
    <n v="32.299999999999997"/>
    <n v="67.7"/>
    <n v="33372"/>
    <n v="35220"/>
    <x v="0"/>
    <n v="94"/>
  </r>
  <r>
    <d v="2022-08-21T00:00:00"/>
    <s v="St James' Park, Newcastle"/>
    <n v="52258"/>
    <s v="Newcastle United"/>
    <n v="3"/>
    <s v="Manchester City"/>
    <n v="3"/>
    <n v="31.3"/>
    <n v="68.7"/>
    <n v="12"/>
    <n v="21"/>
    <n v="6"/>
    <n v="10"/>
    <n v="4"/>
    <n v="4"/>
    <n v="2"/>
    <n v="7"/>
    <n v="67.3"/>
    <n v="85.7"/>
    <n v="4"/>
    <n v="6"/>
    <n v="53.8"/>
    <n v="55.6"/>
    <n v="44.4"/>
    <n v="55.6"/>
    <n v="49258"/>
    <n v="49350"/>
    <x v="4"/>
    <n v="99"/>
  </r>
  <r>
    <d v="2022-08-27T00:00:00"/>
    <s v="Anfield"/>
    <n v="53328"/>
    <s v="Liverpool"/>
    <n v="9"/>
    <s v="Bournemouth"/>
    <n v="0"/>
    <n v="69.400000000000006"/>
    <n v="30.6"/>
    <n v="19"/>
    <n v="5"/>
    <n v="12"/>
    <n v="2"/>
    <n v="6"/>
    <n v="2"/>
    <n v="1"/>
    <n v="1"/>
    <n v="86.5"/>
    <n v="69.599999999999994"/>
    <n v="3"/>
    <n v="0"/>
    <n v="83.3"/>
    <n v="60"/>
    <n v="56.3"/>
    <n v="43.8"/>
    <n v="50328"/>
    <n v="58000"/>
    <x v="10"/>
    <n v="86"/>
  </r>
  <r>
    <d v="2022-08-27T00:00:00"/>
    <s v="Gtech Community Stadium"/>
    <n v="17009"/>
    <s v="Brentford"/>
    <n v="1"/>
    <s v="Everton"/>
    <n v="1"/>
    <n v="57.8"/>
    <n v="42.2"/>
    <n v="20"/>
    <n v="14"/>
    <n v="5"/>
    <n v="7"/>
    <n v="10"/>
    <n v="2"/>
    <n v="5"/>
    <n v="5"/>
    <n v="83.5"/>
    <n v="78.400000000000006"/>
    <n v="2"/>
    <n v="2"/>
    <n v="42.9"/>
    <n v="72.7"/>
    <n v="55.3"/>
    <n v="44.7"/>
    <n v="14009"/>
    <n v="15250"/>
    <x v="5"/>
    <n v="91"/>
  </r>
  <r>
    <d v="2022-08-27T00:00:00"/>
    <s v="St. Mary's Stadium"/>
    <n v="31196"/>
    <s v="Southampton"/>
    <n v="0"/>
    <s v="Manchester United"/>
    <n v="1"/>
    <n v="48.3"/>
    <n v="51.7"/>
    <n v="17"/>
    <n v="11"/>
    <n v="5"/>
    <n v="6"/>
    <n v="10"/>
    <n v="2"/>
    <n v="2"/>
    <n v="3"/>
    <n v="73.099999999999994"/>
    <n v="74"/>
    <n v="1"/>
    <n v="1"/>
    <n v="47.1"/>
    <n v="57.1"/>
    <n v="42.2"/>
    <n v="57.8"/>
    <n v="28196"/>
    <n v="29384"/>
    <x v="9"/>
    <n v="95"/>
  </r>
  <r>
    <d v="2022-08-27T00:00:00"/>
    <s v="Amex Stadium"/>
    <n v="30953"/>
    <s v="Brighton and Hove Albion"/>
    <n v="1"/>
    <s v="Leeds United"/>
    <n v="0"/>
    <n v="42.8"/>
    <n v="57.2"/>
    <n v="13"/>
    <n v="10"/>
    <n v="4"/>
    <n v="2"/>
    <n v="8"/>
    <n v="3"/>
    <n v="1"/>
    <n v="5"/>
    <n v="70.8"/>
    <n v="75.599999999999994"/>
    <n v="2"/>
    <n v="0"/>
    <n v="71.400000000000006"/>
    <n v="54.5"/>
    <n v="58.3"/>
    <n v="41.7"/>
    <n v="27953"/>
    <n v="28876"/>
    <x v="7"/>
    <n v="96"/>
  </r>
  <r>
    <d v="2022-08-27T00:00:00"/>
    <s v="Stamford Bridge"/>
    <n v="39953"/>
    <s v="Chelsea"/>
    <n v="2"/>
    <s v="Leicester City"/>
    <n v="1"/>
    <n v="45.1"/>
    <n v="54.9"/>
    <n v="7"/>
    <n v="17"/>
    <n v="4"/>
    <n v="5"/>
    <n v="1"/>
    <n v="7"/>
    <n v="2"/>
    <n v="5"/>
    <n v="83.4"/>
    <n v="87"/>
    <n v="2"/>
    <n v="4"/>
    <n v="66.7"/>
    <n v="58.8"/>
    <n v="51.4"/>
    <n v="48.6"/>
    <n v="36953"/>
    <n v="37343"/>
    <x v="3"/>
    <n v="98"/>
  </r>
  <r>
    <d v="2022-08-27T00:00:00"/>
    <s v="Etihad Stadium"/>
    <n v="53112"/>
    <s v="Manchester City"/>
    <n v="4"/>
    <s v="Crystal Palace"/>
    <n v="2"/>
    <n v="74.3"/>
    <n v="25.7"/>
    <n v="18"/>
    <n v="2"/>
    <n v="5"/>
    <n v="2"/>
    <n v="9"/>
    <n v="0"/>
    <n v="4"/>
    <n v="0"/>
    <n v="91.2"/>
    <n v="74"/>
    <n v="4"/>
    <n v="1"/>
    <n v="83.3"/>
    <n v="66.7"/>
    <n v="66.7"/>
    <n v="33.299999999999997"/>
    <n v="50112"/>
    <n v="50400"/>
    <x v="4"/>
    <n v="99"/>
  </r>
  <r>
    <d v="2022-08-27T00:00:00"/>
    <s v="Emirates Stadium"/>
    <n v="60164"/>
    <s v="Arsenal"/>
    <n v="2"/>
    <s v="Fulham"/>
    <n v="1"/>
    <n v="72"/>
    <n v="28"/>
    <n v="22"/>
    <n v="11"/>
    <n v="8"/>
    <n v="3"/>
    <n v="4"/>
    <n v="6"/>
    <n v="10"/>
    <n v="2"/>
    <n v="85.5"/>
    <n v="61.9"/>
    <n v="2"/>
    <n v="0"/>
    <n v="73.3"/>
    <n v="45.8"/>
    <n v="33.299999999999997"/>
    <n v="66.7"/>
    <n v="57164"/>
    <n v="57704"/>
    <x v="4"/>
    <n v="99"/>
  </r>
  <r>
    <d v="2022-08-28T00:00:00"/>
    <s v="The City Ground"/>
    <n v="29296"/>
    <s v="Nottingham Forest"/>
    <n v="0"/>
    <s v="Tottenham Hotspur"/>
    <n v="2"/>
    <n v="55.3"/>
    <n v="44.7"/>
    <n v="17"/>
    <n v="18"/>
    <n v="1"/>
    <n v="7"/>
    <n v="9"/>
    <n v="7"/>
    <n v="7"/>
    <n v="4"/>
    <n v="84.7"/>
    <n v="80.5"/>
    <n v="0"/>
    <n v="1"/>
    <n v="52.4"/>
    <n v="53.8"/>
    <n v="50"/>
    <n v="50"/>
    <n v="26296"/>
    <n v="27445"/>
    <x v="9"/>
    <n v="95"/>
  </r>
  <r>
    <d v="2022-08-28T00:00:00"/>
    <s v="Molineux"/>
    <n v="31311"/>
    <s v="Wolverhampton Wanderers"/>
    <n v="1"/>
    <s v="Newcastle United"/>
    <n v="1"/>
    <n v="36.1"/>
    <n v="63.9"/>
    <n v="10"/>
    <n v="21"/>
    <n v="4"/>
    <n v="6"/>
    <n v="2"/>
    <n v="4"/>
    <n v="4"/>
    <n v="11"/>
    <n v="69.400000000000006"/>
    <n v="82.1"/>
    <n v="1"/>
    <n v="0"/>
    <n v="45.5"/>
    <n v="66.7"/>
    <n v="40.700000000000003"/>
    <n v="59.3"/>
    <n v="28311"/>
    <n v="29050"/>
    <x v="14"/>
    <n v="97"/>
  </r>
  <r>
    <d v="2022-08-28T00:00:00"/>
    <s v="Villa Park"/>
    <n v="41796"/>
    <s v="Aston Villa"/>
    <n v="0"/>
    <s v="West Ham United"/>
    <n v="1"/>
    <n v="57.8"/>
    <n v="42.2"/>
    <n v="9"/>
    <n v="7"/>
    <n v="3"/>
    <n v="2"/>
    <n v="4"/>
    <n v="3"/>
    <n v="2"/>
    <n v="2"/>
    <n v="84"/>
    <n v="78.5"/>
    <n v="0"/>
    <n v="0"/>
    <n v="64.7"/>
    <n v="46.2"/>
    <n v="59.1"/>
    <n v="40.9"/>
    <n v="38796"/>
    <n v="39000"/>
    <x v="4"/>
    <n v="99"/>
  </r>
  <r>
    <d v="2022-08-30T00:00:00"/>
    <s v="Craven Cottage"/>
    <n v="22224"/>
    <s v="Fulham"/>
    <n v="2"/>
    <s v="Brighton and Hove Albion"/>
    <n v="1"/>
    <n v="39.1"/>
    <n v="60.9"/>
    <n v="10"/>
    <n v="7"/>
    <n v="3"/>
    <n v="4"/>
    <n v="7"/>
    <n v="3"/>
    <n v="0"/>
    <n v="0"/>
    <n v="74.7"/>
    <n v="83.7"/>
    <n v="1"/>
    <n v="1"/>
    <n v="57.7"/>
    <n v="52.2"/>
    <n v="58.1"/>
    <n v="41.9"/>
    <n v="19224"/>
    <n v="25700"/>
    <x v="15"/>
    <n v="74"/>
  </r>
  <r>
    <d v="2022-08-30T00:00:00"/>
    <s v="Selhurst Park"/>
    <n v="25043"/>
    <s v="Crystal Palace"/>
    <n v="1"/>
    <s v="Brentford"/>
    <n v="1"/>
    <n v="48.9"/>
    <n v="51.1"/>
    <n v="13"/>
    <n v="9"/>
    <n v="4"/>
    <n v="3"/>
    <n v="6"/>
    <n v="5"/>
    <n v="3"/>
    <n v="1"/>
    <n v="81.099999999999994"/>
    <n v="80.099999999999994"/>
    <n v="0"/>
    <n v="5"/>
    <n v="57.1"/>
    <n v="92.9"/>
    <n v="53.8"/>
    <n v="46.2"/>
    <n v="22043"/>
    <n v="23486"/>
    <x v="16"/>
    <n v="93"/>
  </r>
  <r>
    <d v="2022-08-30T00:00:00"/>
    <s v="Elland Road"/>
    <n v="36338"/>
    <s v="Leeds United"/>
    <n v="1"/>
    <s v="Everton"/>
    <n v="1"/>
    <n v="69.099999999999994"/>
    <n v="30.9"/>
    <n v="14"/>
    <n v="7"/>
    <n v="5"/>
    <n v="2"/>
    <n v="8"/>
    <n v="2"/>
    <n v="1"/>
    <n v="3"/>
    <n v="83.1"/>
    <n v="69.5"/>
    <n v="1"/>
    <n v="3"/>
    <n v="52"/>
    <n v="46.4"/>
    <n v="66.7"/>
    <n v="33.299999999999997"/>
    <n v="33338"/>
    <n v="35220"/>
    <x v="0"/>
    <n v="94"/>
  </r>
  <r>
    <d v="2022-08-31T00:00:00"/>
    <s v="Vitality Stadium"/>
    <n v="10113"/>
    <s v="Bournemouth"/>
    <n v="0"/>
    <s v="Wolverhampton Wanderers"/>
    <n v="0"/>
    <n v="34.1"/>
    <n v="65.900000000000006"/>
    <n v="5"/>
    <n v="17"/>
    <n v="2"/>
    <n v="4"/>
    <n v="2"/>
    <n v="9"/>
    <n v="1"/>
    <n v="4"/>
    <n v="74.400000000000006"/>
    <n v="89.2"/>
    <n v="0"/>
    <n v="2"/>
    <n v="83.3"/>
    <n v="42.3"/>
    <n v="46.2"/>
    <n v="53.8"/>
    <n v="7113"/>
    <n v="9879"/>
    <x v="17"/>
    <n v="72"/>
  </r>
  <r>
    <d v="2022-08-31T00:00:00"/>
    <s v="Anfield"/>
    <n v="53316"/>
    <s v="Liverpool"/>
    <n v="2"/>
    <s v="Newcastle United"/>
    <n v="1"/>
    <n v="71.8"/>
    <n v="28.2"/>
    <n v="23"/>
    <n v="5"/>
    <n v="6"/>
    <n v="2"/>
    <n v="8"/>
    <n v="3"/>
    <n v="9"/>
    <n v="0"/>
    <n v="83.7"/>
    <n v="63.7"/>
    <n v="1"/>
    <n v="1"/>
    <n v="71.400000000000006"/>
    <n v="39.1"/>
    <n v="40.5"/>
    <n v="59.5"/>
    <n v="50316"/>
    <n v="58000"/>
    <x v="10"/>
    <n v="86"/>
  </r>
  <r>
    <d v="2022-08-31T00:00:00"/>
    <s v="London Stadium"/>
    <n v="62450"/>
    <s v="West Ham United"/>
    <n v="1"/>
    <s v="Tottenham Hotspur"/>
    <n v="1"/>
    <n v="38.299999999999997"/>
    <n v="61.7"/>
    <n v="14"/>
    <n v="12"/>
    <n v="4"/>
    <n v="3"/>
    <n v="8"/>
    <n v="2"/>
    <n v="2"/>
    <n v="7"/>
    <n v="83.2"/>
    <n v="89.4"/>
    <n v="2"/>
    <n v="0"/>
    <n v="69.2"/>
    <n v="42.9"/>
    <n v="64.3"/>
    <n v="35.700000000000003"/>
    <n v="59450"/>
    <n v="65013"/>
    <x v="5"/>
    <n v="91"/>
  </r>
  <r>
    <d v="2022-08-31T00:00:00"/>
    <s v="Emirates Stadium"/>
    <n v="60012"/>
    <s v="Arsenal"/>
    <n v="2"/>
    <s v="Aston Villa"/>
    <n v="1"/>
    <n v="58.9"/>
    <n v="41.1"/>
    <n v="22"/>
    <n v="4"/>
    <n v="9"/>
    <n v="3"/>
    <n v="6"/>
    <n v="1"/>
    <n v="7"/>
    <n v="0"/>
    <n v="84.9"/>
    <n v="77"/>
    <n v="2"/>
    <n v="0"/>
    <n v="70"/>
    <n v="37.5"/>
    <n v="52.4"/>
    <n v="47.6"/>
    <n v="57012"/>
    <n v="57704"/>
    <x v="3"/>
    <n v="98"/>
  </r>
  <r>
    <d v="2022-08-31T00:00:00"/>
    <s v="Etihad Stadium"/>
    <n v="53409"/>
    <s v="Manchester City"/>
    <n v="6"/>
    <s v="Nottingham Forest"/>
    <n v="0"/>
    <n v="74.900000000000006"/>
    <n v="25.1"/>
    <n v="17"/>
    <n v="8"/>
    <n v="9"/>
    <n v="1"/>
    <n v="6"/>
    <n v="4"/>
    <n v="2"/>
    <n v="3"/>
    <n v="91.7"/>
    <n v="73.599999999999994"/>
    <n v="4"/>
    <n v="2"/>
    <n v="84.6"/>
    <n v="57.1"/>
    <n v="68"/>
    <n v="32"/>
    <n v="50409"/>
    <n v="50400"/>
    <x v="8"/>
    <n v="100"/>
  </r>
  <r>
    <d v="2022-09-01T00:00:00"/>
    <s v="The King Power Stadium"/>
    <n v="32226"/>
    <s v="Leicester City"/>
    <n v="0"/>
    <s v="Manchester United"/>
    <n v="1"/>
    <n v="53.9"/>
    <n v="46.1"/>
    <n v="10"/>
    <n v="9"/>
    <n v="2"/>
    <n v="2"/>
    <n v="5"/>
    <n v="5"/>
    <n v="3"/>
    <n v="2"/>
    <n v="81.8"/>
    <n v="78"/>
    <n v="1"/>
    <n v="1"/>
    <n v="61.9"/>
    <n v="53.3"/>
    <n v="52.9"/>
    <n v="47.1"/>
    <n v="29226"/>
    <n v="29261"/>
    <x v="4"/>
    <n v="99"/>
  </r>
  <r>
    <d v="2022-09-03T00:00:00"/>
    <s v="The City Ground"/>
    <n v="28720"/>
    <s v="Nottingham Forest"/>
    <n v="2"/>
    <s v="Bournemouth"/>
    <n v="3"/>
    <n v="52.7"/>
    <n v="47.3"/>
    <n v="11"/>
    <n v="8"/>
    <n v="3"/>
    <n v="3"/>
    <n v="3"/>
    <n v="2"/>
    <n v="5"/>
    <n v="3"/>
    <n v="82.7"/>
    <n v="81.2"/>
    <n v="0"/>
    <n v="1"/>
    <n v="53.8"/>
    <n v="66.7"/>
    <n v="50"/>
    <n v="50"/>
    <n v="25720"/>
    <n v="27445"/>
    <x v="16"/>
    <n v="93"/>
  </r>
  <r>
    <d v="2022-09-03T00:00:00"/>
    <s v="Molineux"/>
    <n v="30546"/>
    <s v="Wolverhampton Wanderers"/>
    <n v="1"/>
    <s v="Southampton"/>
    <n v="0"/>
    <n v="50.8"/>
    <n v="49.2"/>
    <n v="7"/>
    <n v="12"/>
    <n v="2"/>
    <n v="1"/>
    <n v="4"/>
    <n v="7"/>
    <n v="1"/>
    <n v="4"/>
    <n v="80.8"/>
    <n v="78.099999999999994"/>
    <n v="2"/>
    <n v="1"/>
    <n v="64.3"/>
    <n v="60"/>
    <n v="58.3"/>
    <n v="41.7"/>
    <n v="27546"/>
    <n v="29050"/>
    <x v="0"/>
    <n v="94"/>
  </r>
  <r>
    <d v="2022-09-03T00:00:00"/>
    <s v="Tottenham Hotspur Stadium"/>
    <n v="61641"/>
    <s v="Tottenham Hotspur"/>
    <n v="2"/>
    <s v="Fulham"/>
    <n v="1"/>
    <n v="51.9"/>
    <n v="48.1"/>
    <n v="23"/>
    <n v="9"/>
    <n v="10"/>
    <n v="3"/>
    <n v="7"/>
    <n v="5"/>
    <n v="6"/>
    <n v="1"/>
    <n v="88"/>
    <n v="85.7"/>
    <n v="1"/>
    <n v="0"/>
    <n v="47.4"/>
    <n v="61.1"/>
    <n v="60.7"/>
    <n v="39.299999999999997"/>
    <n v="58641"/>
    <n v="59850"/>
    <x v="14"/>
    <n v="97"/>
  </r>
  <r>
    <d v="2022-09-03T00:00:00"/>
    <s v="Stamford Bridge"/>
    <n v="39923"/>
    <s v="Chelsea"/>
    <n v="2"/>
    <s v="West Ham United"/>
    <n v="1"/>
    <n v="68.099999999999994"/>
    <n v="31.9"/>
    <n v="8"/>
    <n v="6"/>
    <n v="3"/>
    <n v="3"/>
    <n v="2"/>
    <n v="2"/>
    <n v="3"/>
    <n v="1"/>
    <n v="87.3"/>
    <n v="75.3"/>
    <n v="2"/>
    <n v="2"/>
    <n v="68.8"/>
    <n v="64.3"/>
    <n v="50"/>
    <n v="50"/>
    <n v="36923"/>
    <n v="37343"/>
    <x v="3"/>
    <n v="98"/>
  </r>
  <r>
    <d v="2022-09-03T00:00:00"/>
    <s v="Goodison Park"/>
    <n v="39240"/>
    <s v="Everton"/>
    <n v="0"/>
    <s v="Liverpool"/>
    <n v="0"/>
    <n v="39.1"/>
    <n v="60.9"/>
    <n v="14"/>
    <n v="23"/>
    <n v="3"/>
    <n v="8"/>
    <n v="6"/>
    <n v="9"/>
    <n v="5"/>
    <n v="6"/>
    <n v="71.900000000000006"/>
    <n v="81"/>
    <n v="1"/>
    <n v="0"/>
    <n v="57.9"/>
    <n v="80"/>
    <n v="39.1"/>
    <n v="60.9"/>
    <n v="36240"/>
    <n v="36572"/>
    <x v="4"/>
    <n v="99"/>
  </r>
  <r>
    <d v="2022-09-03T00:00:00"/>
    <s v="St James' Park, Newcastle"/>
    <n v="51863"/>
    <s v="Newcastle United"/>
    <n v="0"/>
    <s v="Crystal Palace"/>
    <n v="0"/>
    <n v="51.7"/>
    <n v="48.3"/>
    <n v="23"/>
    <n v="19"/>
    <n v="6"/>
    <n v="9"/>
    <n v="7"/>
    <n v="4"/>
    <n v="10"/>
    <n v="6"/>
    <n v="78.8"/>
    <n v="77.900000000000006"/>
    <n v="3"/>
    <n v="0"/>
    <n v="61.1"/>
    <n v="73.900000000000006"/>
    <n v="50"/>
    <n v="50"/>
    <n v="48863"/>
    <n v="49350"/>
    <x v="4"/>
    <n v="99"/>
  </r>
  <r>
    <d v="2022-09-03T00:00:00"/>
    <s v="Villa Park"/>
    <n v="41830"/>
    <s v="Aston Villa"/>
    <n v="1"/>
    <s v="Manchester City"/>
    <n v="1"/>
    <n v="27.7"/>
    <n v="72.3"/>
    <n v="3"/>
    <n v="13"/>
    <n v="1"/>
    <n v="4"/>
    <n v="1"/>
    <n v="5"/>
    <n v="1"/>
    <n v="4"/>
    <n v="70.7"/>
    <n v="88.2"/>
    <n v="0"/>
    <n v="4"/>
    <n v="60"/>
    <n v="38.5"/>
    <n v="32.5"/>
    <n v="67.5"/>
    <n v="38830"/>
    <n v="39000"/>
    <x v="4"/>
    <n v="99"/>
  </r>
  <r>
    <d v="2022-09-04T00:00:00"/>
    <s v="Amex Stadium"/>
    <n v="31185"/>
    <s v="Brighton and Hove Albion"/>
    <n v="5"/>
    <s v="Leicester City"/>
    <n v="2"/>
    <n v="53.5"/>
    <n v="46.5"/>
    <n v="23"/>
    <n v="6"/>
    <n v="11"/>
    <n v="4"/>
    <n v="5"/>
    <n v="1"/>
    <n v="7"/>
    <n v="1"/>
    <n v="85.4"/>
    <n v="82.6"/>
    <n v="3"/>
    <n v="2"/>
    <n v="70.599999999999994"/>
    <n v="61.5"/>
    <n v="47.6"/>
    <n v="52.4"/>
    <n v="28185"/>
    <n v="28876"/>
    <x v="14"/>
    <n v="97"/>
  </r>
  <r>
    <d v="2022-09-04T00:00:00"/>
    <s v="Old Trafford"/>
    <n v="73431"/>
    <s v="Manchester United"/>
    <n v="3"/>
    <s v="Arsenal"/>
    <n v="1"/>
    <n v="39.5"/>
    <n v="60.5"/>
    <n v="10"/>
    <n v="16"/>
    <n v="6"/>
    <n v="3"/>
    <n v="3"/>
    <n v="8"/>
    <n v="1"/>
    <n v="5"/>
    <n v="78.099999999999994"/>
    <n v="83.4"/>
    <n v="4"/>
    <n v="2"/>
    <n v="47.1"/>
    <n v="57.1"/>
    <n v="76.900000000000006"/>
    <n v="23.1"/>
    <n v="70431"/>
    <n v="71310"/>
    <x v="3"/>
    <n v="98"/>
  </r>
  <r>
    <d v="2022-09-16T00:00:00"/>
    <s v="The City Ground"/>
    <n v="28654"/>
    <s v="Nottingham Forest"/>
    <n v="2"/>
    <s v="Fulham"/>
    <n v="3"/>
    <n v="40.799999999999997"/>
    <n v="59.2"/>
    <n v="11"/>
    <n v="15"/>
    <n v="3"/>
    <n v="7"/>
    <n v="5"/>
    <n v="3"/>
    <n v="3"/>
    <n v="5"/>
    <n v="74.400000000000006"/>
    <n v="82.9"/>
    <n v="2"/>
    <n v="2"/>
    <n v="30"/>
    <n v="41.7"/>
    <n v="55.9"/>
    <n v="44.1"/>
    <n v="25654"/>
    <n v="27445"/>
    <x v="16"/>
    <n v="93"/>
  </r>
  <r>
    <d v="2022-09-16T00:00:00"/>
    <s v="Villa Park"/>
    <n v="40758"/>
    <s v="Aston Villa"/>
    <n v="1"/>
    <s v="Southampton"/>
    <n v="0"/>
    <n v="52.7"/>
    <n v="47.3"/>
    <n v="11"/>
    <n v="7"/>
    <n v="3"/>
    <n v="1"/>
    <n v="3"/>
    <n v="3"/>
    <n v="5"/>
    <n v="3"/>
    <n v="74.3"/>
    <n v="73.7"/>
    <n v="1"/>
    <n v="0"/>
    <n v="54.3"/>
    <n v="64.3"/>
    <n v="59.2"/>
    <n v="40.799999999999997"/>
    <n v="37758"/>
    <n v="39000"/>
    <x v="7"/>
    <n v="96"/>
  </r>
  <r>
    <d v="2022-09-17T00:00:00"/>
    <s v="Tottenham Hotspur Stadium"/>
    <n v="61450"/>
    <s v="Tottenham Hotspur"/>
    <n v="6"/>
    <s v="Leicester City"/>
    <n v="2"/>
    <n v="43.7"/>
    <n v="56.3"/>
    <n v="16"/>
    <n v="19"/>
    <n v="11"/>
    <n v="7"/>
    <n v="2"/>
    <n v="7"/>
    <n v="3"/>
    <n v="5"/>
    <n v="83.6"/>
    <n v="87.3"/>
    <n v="2"/>
    <n v="1"/>
    <n v="28.6"/>
    <n v="75"/>
    <n v="54.5"/>
    <n v="45.5"/>
    <n v="58450"/>
    <n v="59850"/>
    <x v="14"/>
    <n v="97"/>
  </r>
  <r>
    <d v="2022-09-17T00:00:00"/>
    <s v="Molineux"/>
    <n v="31578"/>
    <s v="Wolverhampton Wanderers"/>
    <n v="0"/>
    <s v="Manchester City"/>
    <n v="3"/>
    <n v="40.799999999999997"/>
    <n v="59.2"/>
    <n v="6"/>
    <n v="16"/>
    <n v="1"/>
    <n v="7"/>
    <n v="4"/>
    <n v="5"/>
    <n v="1"/>
    <n v="4"/>
    <n v="83.6"/>
    <n v="90.5"/>
    <n v="0"/>
    <n v="1"/>
    <n v="57.9"/>
    <n v="57.9"/>
    <n v="26.7"/>
    <n v="73.3"/>
    <n v="28578"/>
    <n v="29050"/>
    <x v="3"/>
    <n v="98"/>
  </r>
  <r>
    <d v="2022-09-17T00:00:00"/>
    <s v="St James' Park, Newcastle"/>
    <n v="52238"/>
    <s v="Newcastle United"/>
    <n v="1"/>
    <s v="Bournemouth"/>
    <n v="1"/>
    <n v="72.400000000000006"/>
    <n v="27.6"/>
    <n v="20"/>
    <n v="10"/>
    <n v="7"/>
    <n v="3"/>
    <n v="8"/>
    <n v="5"/>
    <n v="5"/>
    <n v="2"/>
    <n v="86.5"/>
    <n v="67.3"/>
    <n v="0"/>
    <n v="1"/>
    <n v="75"/>
    <n v="77.8"/>
    <n v="56"/>
    <n v="44"/>
    <n v="49238"/>
    <n v="49350"/>
    <x v="4"/>
    <n v="99"/>
  </r>
  <r>
    <d v="2022-09-18T00:00:00"/>
    <s v="Gtech Community Stadium"/>
    <n v="17122"/>
    <s v="Brentford"/>
    <n v="0"/>
    <s v="Arsenal"/>
    <n v="3"/>
    <n v="36.1"/>
    <n v="63.9"/>
    <n v="5"/>
    <n v="13"/>
    <n v="2"/>
    <n v="7"/>
    <n v="3"/>
    <n v="4"/>
    <n v="0"/>
    <n v="2"/>
    <n v="74.099999999999994"/>
    <n v="86"/>
    <n v="1"/>
    <n v="2"/>
    <n v="61.9"/>
    <n v="75"/>
    <n v="72.400000000000006"/>
    <n v="27.6"/>
    <n v="14122"/>
    <n v="15250"/>
    <x v="6"/>
    <n v="92"/>
  </r>
  <r>
    <d v="2022-09-18T00:00:00"/>
    <s v="Goodison Park"/>
    <n v="39298"/>
    <s v="Everton"/>
    <n v="1"/>
    <s v="West Ham United"/>
    <n v="0"/>
    <n v="53.6"/>
    <n v="46.4"/>
    <n v="7"/>
    <n v="14"/>
    <n v="2"/>
    <n v="4"/>
    <n v="4"/>
    <n v="3"/>
    <n v="1"/>
    <n v="7"/>
    <n v="83"/>
    <n v="79.599999999999994"/>
    <n v="0"/>
    <n v="0"/>
    <n v="61.1"/>
    <n v="38.9"/>
    <n v="47.6"/>
    <n v="52.4"/>
    <n v="36298"/>
    <n v="36572"/>
    <x v="4"/>
    <n v="99"/>
  </r>
  <r>
    <d v="2022-10-01T00:00:00"/>
    <s v="Vitality Stadium"/>
    <n v="10126"/>
    <s v="Bournemouth"/>
    <n v="0"/>
    <s v="Brentford"/>
    <n v="0"/>
    <n v="42"/>
    <n v="58"/>
    <n v="7"/>
    <n v="13"/>
    <n v="1"/>
    <n v="4"/>
    <n v="4"/>
    <n v="5"/>
    <n v="2"/>
    <n v="4"/>
    <n v="79.2"/>
    <n v="83"/>
    <n v="1"/>
    <n v="1"/>
    <n v="57.1"/>
    <n v="70"/>
    <n v="54.5"/>
    <n v="45.5"/>
    <n v="7126"/>
    <n v="9879"/>
    <x v="17"/>
    <n v="72"/>
  </r>
  <r>
    <d v="2022-10-01T00:00:00"/>
    <s v="Craven Cottage"/>
    <n v="22913"/>
    <s v="Fulham"/>
    <n v="1"/>
    <s v="Newcastle United"/>
    <n v="4"/>
    <n v="31.7"/>
    <n v="68.3"/>
    <n v="3"/>
    <n v="19"/>
    <n v="1"/>
    <n v="10"/>
    <n v="1"/>
    <n v="4"/>
    <n v="1"/>
    <n v="5"/>
    <n v="67.599999999999994"/>
    <n v="87.6"/>
    <n v="1"/>
    <n v="4"/>
    <n v="76.900000000000006"/>
    <n v="66.7"/>
    <n v="10"/>
    <n v="90"/>
    <n v="19913"/>
    <n v="25700"/>
    <x v="18"/>
    <n v="77"/>
  </r>
  <r>
    <d v="2022-10-01T00:00:00"/>
    <s v="Anfield"/>
    <n v="53320"/>
    <s v="Liverpool"/>
    <n v="3"/>
    <s v="Brighton and Hove Albion"/>
    <n v="3"/>
    <n v="53.8"/>
    <n v="46.2"/>
    <n v="15"/>
    <n v="6"/>
    <n v="7"/>
    <n v="6"/>
    <n v="6"/>
    <n v="0"/>
    <n v="2"/>
    <n v="0"/>
    <n v="81.5"/>
    <n v="78"/>
    <n v="4"/>
    <n v="5"/>
    <n v="64.3"/>
    <n v="39.1"/>
    <n v="57.9"/>
    <n v="42.1"/>
    <n v="50320"/>
    <n v="58000"/>
    <x v="10"/>
    <n v="86"/>
  </r>
  <r>
    <d v="2022-10-01T00:00:00"/>
    <s v="London Stadium"/>
    <n v="62444"/>
    <s v="West Ham United"/>
    <n v="2"/>
    <s v="Wolverhampton Wanderers"/>
    <n v="0"/>
    <n v="39.1"/>
    <n v="60.9"/>
    <n v="18"/>
    <n v="15"/>
    <n v="5"/>
    <n v="4"/>
    <n v="5"/>
    <n v="7"/>
    <n v="8"/>
    <n v="4"/>
    <n v="80.900000000000006"/>
    <n v="87.2"/>
    <n v="0"/>
    <n v="1"/>
    <n v="59.1"/>
    <n v="58.3"/>
    <n v="64"/>
    <n v="36"/>
    <n v="59444"/>
    <n v="65013"/>
    <x v="5"/>
    <n v="91"/>
  </r>
  <r>
    <d v="2022-10-01T00:00:00"/>
    <s v="St. Mary's Stadium"/>
    <n v="30510"/>
    <s v="Southampton"/>
    <n v="1"/>
    <s v="Everton"/>
    <n v="2"/>
    <n v="54.2"/>
    <n v="45.8"/>
    <n v="22"/>
    <n v="12"/>
    <n v="6"/>
    <n v="5"/>
    <n v="9"/>
    <n v="4"/>
    <n v="7"/>
    <n v="3"/>
    <n v="81.3"/>
    <n v="77.599999999999994"/>
    <n v="3"/>
    <n v="4"/>
    <n v="50"/>
    <n v="56.5"/>
    <n v="40.6"/>
    <n v="59.4"/>
    <n v="27510"/>
    <n v="29384"/>
    <x v="16"/>
    <n v="93"/>
  </r>
  <r>
    <d v="2022-10-01T00:00:00"/>
    <s v="Selhurst Park"/>
    <n v="25198"/>
    <s v="Crystal Palace"/>
    <n v="1"/>
    <s v="Chelsea"/>
    <n v="2"/>
    <n v="36"/>
    <n v="64"/>
    <n v="7"/>
    <n v="13"/>
    <n v="3"/>
    <n v="3"/>
    <n v="4"/>
    <n v="7"/>
    <n v="0"/>
    <n v="3"/>
    <n v="77.900000000000006"/>
    <n v="88"/>
    <n v="1"/>
    <n v="0"/>
    <n v="55.6"/>
    <n v="56.3"/>
    <n v="45"/>
    <n v="55"/>
    <n v="22198"/>
    <n v="23486"/>
    <x v="0"/>
    <n v="94"/>
  </r>
  <r>
    <d v="2022-10-01T00:00:00"/>
    <s v="Emirates Stadium"/>
    <n v="60278"/>
    <s v="Arsenal"/>
    <n v="3"/>
    <s v="Tottenham Hotspur"/>
    <n v="1"/>
    <n v="64.7"/>
    <n v="35.299999999999997"/>
    <n v="22"/>
    <n v="7"/>
    <n v="9"/>
    <n v="3"/>
    <n v="9"/>
    <n v="2"/>
    <n v="4"/>
    <n v="2"/>
    <n v="90.4"/>
    <n v="78.2"/>
    <n v="1"/>
    <n v="1"/>
    <n v="71.400000000000006"/>
    <n v="62.5"/>
    <n v="56.3"/>
    <n v="43.8"/>
    <n v="57278"/>
    <n v="57704"/>
    <x v="4"/>
    <n v="99"/>
  </r>
  <r>
    <d v="2022-10-02T00:00:00"/>
    <s v="Elland Road"/>
    <n v="36582"/>
    <s v="Leeds United"/>
    <n v="0"/>
    <s v="Aston Villa"/>
    <n v="0"/>
    <n v="43.8"/>
    <n v="56.2"/>
    <n v="6"/>
    <n v="19"/>
    <n v="1"/>
    <n v="7"/>
    <n v="2"/>
    <n v="8"/>
    <n v="3"/>
    <n v="4"/>
    <n v="72"/>
    <n v="77.2"/>
    <n v="0"/>
    <n v="3"/>
    <n v="75"/>
    <n v="68.8"/>
    <n v="42.1"/>
    <n v="57.9"/>
    <n v="33582"/>
    <n v="35220"/>
    <x v="9"/>
    <n v="95"/>
  </r>
  <r>
    <d v="2022-10-02T00:00:00"/>
    <s v="Etihad Stadium"/>
    <n v="53475"/>
    <s v="Manchester City"/>
    <n v="6"/>
    <s v="Manchester United"/>
    <n v="3"/>
    <n v="53.9"/>
    <n v="46.1"/>
    <n v="22"/>
    <n v="12"/>
    <n v="10"/>
    <n v="8"/>
    <n v="6"/>
    <n v="1"/>
    <n v="6"/>
    <n v="3"/>
    <n v="88"/>
    <n v="85.7"/>
    <n v="3"/>
    <n v="0"/>
    <n v="57.1"/>
    <n v="35.700000000000003"/>
    <n v="62.5"/>
    <n v="37.5"/>
    <n v="50475"/>
    <n v="50400"/>
    <x v="8"/>
    <n v="100"/>
  </r>
  <r>
    <d v="2022-10-03T00:00:00"/>
    <s v="The King Power Stadium"/>
    <n v="32202"/>
    <s v="Leicester City"/>
    <n v="4"/>
    <s v="Nottingham Forest"/>
    <n v="0"/>
    <n v="51.6"/>
    <n v="48.4"/>
    <n v="17"/>
    <n v="10"/>
    <n v="7"/>
    <n v="3"/>
    <n v="7"/>
    <n v="5"/>
    <n v="3"/>
    <n v="2"/>
    <n v="84.6"/>
    <n v="78"/>
    <n v="2"/>
    <n v="3"/>
    <n v="63.6"/>
    <n v="69.2"/>
    <n v="52.2"/>
    <n v="47.8"/>
    <n v="29202"/>
    <n v="29261"/>
    <x v="4"/>
    <n v="99"/>
  </r>
  <r>
    <d v="2022-10-08T00:00:00"/>
    <s v="Vitality Stadium"/>
    <n v="10272"/>
    <s v="Bournemouth"/>
    <n v="2"/>
    <s v="Leicester City"/>
    <n v="1"/>
    <n v="44.2"/>
    <n v="55.8"/>
    <n v="10"/>
    <n v="9"/>
    <n v="4"/>
    <n v="5"/>
    <n v="2"/>
    <n v="2"/>
    <n v="4"/>
    <n v="2"/>
    <n v="84.7"/>
    <n v="86.2"/>
    <n v="1"/>
    <n v="1"/>
    <n v="84.6"/>
    <n v="68.8"/>
    <n v="26.9"/>
    <n v="73.099999999999994"/>
    <n v="7272"/>
    <n v="9879"/>
    <x v="11"/>
    <n v="73"/>
  </r>
  <r>
    <d v="2022-10-08T00:00:00"/>
    <s v="Stamford Bridge"/>
    <n v="39940"/>
    <s v="Chelsea"/>
    <n v="3"/>
    <s v="Wolverhampton Wanderers"/>
    <n v="0"/>
    <n v="57.4"/>
    <n v="42.6"/>
    <n v="20"/>
    <n v="8"/>
    <n v="7"/>
    <n v="2"/>
    <n v="10"/>
    <n v="5"/>
    <n v="3"/>
    <n v="1"/>
    <n v="87.6"/>
    <n v="83.5"/>
    <n v="4"/>
    <n v="1"/>
    <n v="57.7"/>
    <n v="69.2"/>
    <n v="40.9"/>
    <n v="59.1"/>
    <n v="36940"/>
    <n v="37343"/>
    <x v="3"/>
    <n v="98"/>
  </r>
  <r>
    <d v="2022-10-08T00:00:00"/>
    <s v="Amex Stadium"/>
    <n v="31498"/>
    <s v="Brighton and Hove Albion"/>
    <n v="0"/>
    <s v="Tottenham Hotspur"/>
    <n v="1"/>
    <n v="58.9"/>
    <n v="41.1"/>
    <n v="14"/>
    <n v="8"/>
    <n v="4"/>
    <n v="3"/>
    <n v="5"/>
    <n v="4"/>
    <n v="5"/>
    <n v="1"/>
    <n v="87.9"/>
    <n v="81.400000000000006"/>
    <n v="1"/>
    <n v="1"/>
    <n v="52.9"/>
    <n v="80"/>
    <n v="52.2"/>
    <n v="47.8"/>
    <n v="28498"/>
    <n v="28876"/>
    <x v="3"/>
    <n v="98"/>
  </r>
  <r>
    <d v="2022-10-08T00:00:00"/>
    <s v="Etihad Stadium"/>
    <n v="53365"/>
    <s v="Manchester City"/>
    <n v="4"/>
    <s v="Southampton"/>
    <n v="0"/>
    <n v="65.2"/>
    <n v="34.799999999999997"/>
    <n v="21"/>
    <n v="5"/>
    <n v="8"/>
    <n v="0"/>
    <n v="9"/>
    <n v="3"/>
    <n v="4"/>
    <n v="2"/>
    <n v="89.5"/>
    <n v="80.7"/>
    <n v="6"/>
    <n v="0"/>
    <n v="53.3"/>
    <n v="47.4"/>
    <n v="52.4"/>
    <n v="47.6"/>
    <n v="50365"/>
    <n v="50400"/>
    <x v="4"/>
    <n v="99"/>
  </r>
  <r>
    <d v="2022-10-08T00:00:00"/>
    <s v="St James' Park, Newcastle"/>
    <n v="52067"/>
    <s v="Newcastle United"/>
    <n v="5"/>
    <s v="Brentford"/>
    <n v="1"/>
    <n v="54.4"/>
    <n v="45.6"/>
    <n v="16"/>
    <n v="6"/>
    <n v="6"/>
    <n v="3"/>
    <n v="4"/>
    <n v="1"/>
    <n v="6"/>
    <n v="2"/>
    <n v="79.400000000000006"/>
    <n v="74.7"/>
    <n v="2"/>
    <n v="0"/>
    <n v="40"/>
    <n v="70"/>
    <n v="53.6"/>
    <n v="46.4"/>
    <n v="49067"/>
    <n v="49350"/>
    <x v="4"/>
    <n v="99"/>
  </r>
  <r>
    <d v="2022-10-09T00:00:00"/>
    <s v="London Stadium"/>
    <n v="62454"/>
    <s v="West Ham United"/>
    <n v="3"/>
    <s v="Fulham"/>
    <n v="1"/>
    <n v="50.3"/>
    <n v="49.7"/>
    <n v="17"/>
    <n v="8"/>
    <n v="8"/>
    <n v="2"/>
    <n v="4"/>
    <n v="4"/>
    <n v="5"/>
    <n v="2"/>
    <n v="82.5"/>
    <n v="82.3"/>
    <n v="3"/>
    <n v="0"/>
    <n v="58.3"/>
    <n v="50"/>
    <n v="43.8"/>
    <n v="56.3"/>
    <n v="59454"/>
    <n v="65013"/>
    <x v="5"/>
    <n v="91"/>
  </r>
  <r>
    <d v="2022-10-09T00:00:00"/>
    <s v="Selhurst Park"/>
    <n v="25042"/>
    <s v="Crystal Palace"/>
    <n v="2"/>
    <s v="Leeds United"/>
    <n v="1"/>
    <n v="54.5"/>
    <n v="45.5"/>
    <n v="13"/>
    <n v="10"/>
    <n v="5"/>
    <n v="4"/>
    <n v="5"/>
    <n v="2"/>
    <n v="3"/>
    <n v="4"/>
    <n v="76.8"/>
    <n v="64.3"/>
    <n v="3"/>
    <n v="1"/>
    <n v="38.9"/>
    <n v="44.8"/>
    <n v="53.6"/>
    <n v="46.4"/>
    <n v="22042"/>
    <n v="23486"/>
    <x v="16"/>
    <n v="93"/>
  </r>
  <r>
    <d v="2022-10-09T00:00:00"/>
    <s v="Emirates Stadium"/>
    <n v="59968"/>
    <s v="Arsenal"/>
    <n v="3"/>
    <s v="Liverpool"/>
    <n v="2"/>
    <n v="44"/>
    <n v="56"/>
    <n v="11"/>
    <n v="8"/>
    <n v="7"/>
    <n v="3"/>
    <n v="1"/>
    <n v="2"/>
    <n v="3"/>
    <n v="3"/>
    <n v="78.2"/>
    <n v="80.900000000000006"/>
    <n v="2"/>
    <n v="1"/>
    <n v="62.5"/>
    <n v="46.7"/>
    <n v="56.5"/>
    <n v="43.5"/>
    <n v="56968"/>
    <n v="57704"/>
    <x v="3"/>
    <n v="98"/>
  </r>
  <r>
    <d v="2022-10-09T00:00:00"/>
    <s v="Goodison Park"/>
    <n v="39258"/>
    <s v="Everton"/>
    <n v="1"/>
    <s v="Manchester United"/>
    <n v="2"/>
    <n v="39.700000000000003"/>
    <n v="60.3"/>
    <n v="11"/>
    <n v="12"/>
    <n v="2"/>
    <n v="4"/>
    <n v="3"/>
    <n v="5"/>
    <n v="6"/>
    <n v="3"/>
    <n v="78.7"/>
    <n v="83.7"/>
    <n v="0"/>
    <n v="3"/>
    <n v="66.7"/>
    <n v="40"/>
    <n v="43.3"/>
    <n v="56.7"/>
    <n v="36258"/>
    <n v="36572"/>
    <x v="4"/>
    <n v="99"/>
  </r>
  <r>
    <d v="2022-10-10T00:00:00"/>
    <s v="The City Ground"/>
    <n v="29208"/>
    <s v="Nottingham Forest"/>
    <n v="1"/>
    <s v="Aston Villa"/>
    <n v="1"/>
    <n v="39.9"/>
    <n v="60.1"/>
    <n v="6"/>
    <n v="12"/>
    <n v="3"/>
    <n v="2"/>
    <n v="1"/>
    <n v="2"/>
    <n v="2"/>
    <n v="8"/>
    <n v="73.900000000000006"/>
    <n v="86.2"/>
    <n v="0"/>
    <n v="1"/>
    <n v="64.3"/>
    <n v="50"/>
    <n v="70"/>
    <n v="30"/>
    <n v="26208"/>
    <n v="27445"/>
    <x v="9"/>
    <n v="95"/>
  </r>
  <r>
    <d v="2022-10-14T00:00:00"/>
    <s v="Gtech Community Stadium"/>
    <n v="17016"/>
    <s v="Brentford"/>
    <n v="2"/>
    <s v="Brighton and Hove Albion"/>
    <n v="0"/>
    <n v="27.5"/>
    <n v="72.5"/>
    <n v="7"/>
    <n v="21"/>
    <n v="3"/>
    <n v="7"/>
    <n v="4"/>
    <n v="4"/>
    <n v="0"/>
    <n v="10"/>
    <n v="66.8"/>
    <n v="85.1"/>
    <n v="2"/>
    <n v="2"/>
    <n v="58.3"/>
    <n v="60"/>
    <n v="53.1"/>
    <n v="46.9"/>
    <n v="14016"/>
    <n v="15250"/>
    <x v="5"/>
    <n v="91"/>
  </r>
  <r>
    <d v="2022-10-15T00:00:00"/>
    <s v="Craven Cottage"/>
    <n v="22913"/>
    <s v="Fulham"/>
    <n v="2"/>
    <s v="Bournemouth"/>
    <n v="2"/>
    <n v="68.900000000000006"/>
    <n v="31.1"/>
    <n v="19"/>
    <n v="10"/>
    <n v="4"/>
    <n v="6"/>
    <n v="8"/>
    <n v="4"/>
    <n v="7"/>
    <n v="0"/>
    <n v="84.8"/>
    <n v="69.8"/>
    <n v="0"/>
    <n v="2"/>
    <n v="75"/>
    <n v="50"/>
    <n v="51.4"/>
    <n v="48.6"/>
    <n v="19913"/>
    <n v="25700"/>
    <x v="18"/>
    <n v="77"/>
  </r>
  <r>
    <d v="2022-10-15T00:00:00"/>
    <s v="The King Power Stadium"/>
    <n v="31298"/>
    <s v="Leicester City"/>
    <n v="0"/>
    <s v="Crystal Palace"/>
    <n v="0"/>
    <n v="53.1"/>
    <n v="46.9"/>
    <n v="14"/>
    <n v="8"/>
    <n v="5"/>
    <n v="1"/>
    <n v="5"/>
    <n v="5"/>
    <n v="4"/>
    <n v="2"/>
    <n v="85.1"/>
    <n v="82.9"/>
    <n v="1"/>
    <n v="0"/>
    <n v="48"/>
    <n v="69.2"/>
    <n v="40.9"/>
    <n v="59.1"/>
    <n v="28298"/>
    <n v="29261"/>
    <x v="7"/>
    <n v="96"/>
  </r>
  <r>
    <d v="2022-10-15T00:00:00"/>
    <s v="Molineux"/>
    <n v="31554"/>
    <s v="Wolverhampton Wanderers"/>
    <n v="1"/>
    <s v="Nottingham Forest"/>
    <n v="0"/>
    <n v="58"/>
    <n v="42"/>
    <n v="9"/>
    <n v="10"/>
    <n v="2"/>
    <n v="2"/>
    <n v="5"/>
    <n v="6"/>
    <n v="2"/>
    <n v="2"/>
    <n v="81.599999999999994"/>
    <n v="71.900000000000006"/>
    <n v="0"/>
    <n v="0"/>
    <n v="47.1"/>
    <n v="37.5"/>
    <n v="34.6"/>
    <n v="65.400000000000006"/>
    <n v="28554"/>
    <n v="29050"/>
    <x v="3"/>
    <n v="98"/>
  </r>
  <r>
    <d v="2022-10-15T00:00:00"/>
    <s v="Tottenham Hotspur Stadium"/>
    <n v="61812"/>
    <s v="Tottenham Hotspur"/>
    <n v="2"/>
    <s v="Everton"/>
    <n v="0"/>
    <n v="61.5"/>
    <n v="38.5"/>
    <n v="21"/>
    <n v="4"/>
    <n v="7"/>
    <n v="0"/>
    <n v="6"/>
    <n v="3"/>
    <n v="8"/>
    <n v="1"/>
    <n v="88.3"/>
    <n v="81.7"/>
    <n v="2"/>
    <n v="0"/>
    <n v="75"/>
    <n v="66.7"/>
    <n v="56.5"/>
    <n v="43.5"/>
    <n v="58812"/>
    <n v="59850"/>
    <x v="3"/>
    <n v="98"/>
  </r>
  <r>
    <d v="2022-10-16T00:00:00"/>
    <s v="Anfield"/>
    <n v="53286"/>
    <s v="Liverpool"/>
    <n v="1"/>
    <s v="Manchester City"/>
    <n v="0"/>
    <n v="36.799999999999997"/>
    <n v="63.2"/>
    <n v="13"/>
    <n v="16"/>
    <n v="2"/>
    <n v="6"/>
    <n v="8"/>
    <n v="4"/>
    <n v="3"/>
    <n v="6"/>
    <n v="76.900000000000006"/>
    <n v="87.7"/>
    <n v="5"/>
    <n v="1"/>
    <n v="52.2"/>
    <n v="70"/>
    <n v="40"/>
    <n v="60"/>
    <n v="50286"/>
    <n v="58000"/>
    <x v="10"/>
    <n v="86"/>
  </r>
  <r>
    <d v="2022-10-16T00:00:00"/>
    <s v="St. Mary's Stadium"/>
    <n v="29159"/>
    <s v="Southampton"/>
    <n v="1"/>
    <s v="West Ham United"/>
    <n v="1"/>
    <n v="39.1"/>
    <n v="60.9"/>
    <n v="10"/>
    <n v="25"/>
    <n v="8"/>
    <n v="4"/>
    <n v="1"/>
    <n v="9"/>
    <n v="1"/>
    <n v="12"/>
    <n v="72.400000000000006"/>
    <n v="80.099999999999994"/>
    <n v="1"/>
    <n v="1"/>
    <n v="35.700000000000003"/>
    <n v="54.5"/>
    <n v="50"/>
    <n v="50"/>
    <n v="26159"/>
    <n v="29384"/>
    <x v="19"/>
    <n v="89"/>
  </r>
  <r>
    <d v="2022-10-16T00:00:00"/>
    <s v="Elland Road"/>
    <n v="36700"/>
    <s v="Leeds United"/>
    <n v="0"/>
    <s v="Arsenal"/>
    <n v="1"/>
    <n v="47"/>
    <n v="53"/>
    <n v="16"/>
    <n v="9"/>
    <n v="4"/>
    <n v="4"/>
    <n v="5"/>
    <n v="2"/>
    <n v="7"/>
    <n v="3"/>
    <n v="78"/>
    <n v="83"/>
    <n v="1"/>
    <n v="1"/>
    <n v="56"/>
    <n v="58.8"/>
    <n v="56.5"/>
    <n v="43.5"/>
    <n v="33700"/>
    <n v="35220"/>
    <x v="9"/>
    <n v="95"/>
  </r>
  <r>
    <d v="2022-10-16T00:00:00"/>
    <s v="Villa Park"/>
    <n v="41754"/>
    <s v="Aston Villa"/>
    <n v="0"/>
    <s v="Chelsea"/>
    <n v="2"/>
    <n v="41.1"/>
    <n v="58.9"/>
    <n v="18"/>
    <n v="8"/>
    <n v="7"/>
    <n v="4"/>
    <n v="7"/>
    <n v="3"/>
    <n v="4"/>
    <n v="1"/>
    <n v="80.2"/>
    <n v="85.4"/>
    <n v="3"/>
    <n v="2"/>
    <n v="41.7"/>
    <n v="66.7"/>
    <n v="66.7"/>
    <n v="33.299999999999997"/>
    <n v="38754"/>
    <n v="39000"/>
    <x v="4"/>
    <n v="99"/>
  </r>
  <r>
    <d v="2022-10-16T00:00:00"/>
    <s v="Old Trafford"/>
    <n v="73726"/>
    <s v="Manchester United"/>
    <n v="0"/>
    <s v="Newcastle United"/>
    <n v="0"/>
    <n v="63"/>
    <n v="37"/>
    <n v="15"/>
    <n v="9"/>
    <n v="2"/>
    <n v="2"/>
    <n v="8"/>
    <n v="5"/>
    <n v="5"/>
    <n v="2"/>
    <n v="81.099999999999994"/>
    <n v="72.099999999999994"/>
    <n v="2"/>
    <n v="0"/>
    <n v="61.1"/>
    <n v="30.8"/>
    <n v="35"/>
    <n v="65"/>
    <n v="70726"/>
    <n v="71310"/>
    <x v="4"/>
    <n v="99"/>
  </r>
  <r>
    <d v="2022-10-18T00:00:00"/>
    <s v="Selhurst Park"/>
    <n v="25125"/>
    <s v="Crystal Palace"/>
    <n v="2"/>
    <s v="Wolverhampton Wanderers"/>
    <n v="1"/>
    <n v="51.3"/>
    <n v="48.7"/>
    <n v="14"/>
    <n v="10"/>
    <n v="4"/>
    <n v="4"/>
    <n v="5"/>
    <n v="5"/>
    <n v="5"/>
    <n v="1"/>
    <n v="82.4"/>
    <n v="79.400000000000006"/>
    <n v="2"/>
    <n v="2"/>
    <n v="52.2"/>
    <n v="51.7"/>
    <n v="58.6"/>
    <n v="41.4"/>
    <n v="22125"/>
    <n v="23486"/>
    <x v="0"/>
    <n v="94"/>
  </r>
  <r>
    <d v="2022-10-18T00:00:00"/>
    <s v="Amex Stadium"/>
    <n v="31463"/>
    <s v="Brighton and Hove Albion"/>
    <n v="0"/>
    <s v="Nottingham Forest"/>
    <n v="0"/>
    <n v="70.3"/>
    <n v="29.7"/>
    <n v="19"/>
    <n v="3"/>
    <n v="7"/>
    <n v="0"/>
    <n v="7"/>
    <n v="3"/>
    <n v="5"/>
    <n v="0"/>
    <n v="86.8"/>
    <n v="67.7"/>
    <n v="2"/>
    <n v="0"/>
    <n v="63.6"/>
    <n v="61.5"/>
    <n v="51.6"/>
    <n v="48.4"/>
    <n v="28463"/>
    <n v="28876"/>
    <x v="3"/>
    <n v="98"/>
  </r>
  <r>
    <d v="2022-10-19T00:00:00"/>
    <s v="Vitality Stadium"/>
    <n v="10405"/>
    <s v="Bournemouth"/>
    <n v="0"/>
    <s v="Southampton"/>
    <n v="1"/>
    <n v="53.5"/>
    <n v="46.5"/>
    <n v="15"/>
    <n v="9"/>
    <n v="3"/>
    <n v="3"/>
    <n v="8"/>
    <n v="2"/>
    <n v="4"/>
    <n v="4"/>
    <n v="81.900000000000006"/>
    <n v="81"/>
    <n v="0"/>
    <n v="1"/>
    <n v="38.5"/>
    <n v="47.8"/>
    <n v="62.5"/>
    <n v="37.5"/>
    <n v="7405"/>
    <n v="9879"/>
    <x v="15"/>
    <n v="74"/>
  </r>
  <r>
    <d v="2022-10-19T00:00:00"/>
    <s v="Craven Cottage"/>
    <n v="23508"/>
    <s v="Fulham"/>
    <n v="3"/>
    <s v="Aston Villa"/>
    <n v="0"/>
    <n v="60.4"/>
    <n v="39.6"/>
    <n v="18"/>
    <n v="12"/>
    <n v="8"/>
    <n v="6"/>
    <n v="5"/>
    <n v="3"/>
    <n v="5"/>
    <n v="3"/>
    <n v="85.7"/>
    <n v="77.5"/>
    <n v="2"/>
    <n v="0"/>
    <n v="58.3"/>
    <n v="42.9"/>
    <n v="53.1"/>
    <n v="46.9"/>
    <n v="20508"/>
    <n v="25700"/>
    <x v="20"/>
    <n v="79"/>
  </r>
  <r>
    <d v="2022-10-19T00:00:00"/>
    <s v="Anfield"/>
    <n v="53346"/>
    <s v="Liverpool"/>
    <n v="1"/>
    <s v="West Ham United"/>
    <n v="0"/>
    <n v="53.8"/>
    <n v="46.2"/>
    <n v="22"/>
    <n v="8"/>
    <n v="7"/>
    <n v="3"/>
    <n v="8"/>
    <n v="4"/>
    <n v="7"/>
    <n v="1"/>
    <n v="85.2"/>
    <n v="80.8"/>
    <n v="1"/>
    <n v="4"/>
    <n v="61.5"/>
    <n v="53.3"/>
    <n v="61.1"/>
    <n v="38.9"/>
    <n v="50346"/>
    <n v="58000"/>
    <x v="10"/>
    <n v="86"/>
  </r>
  <r>
    <d v="2022-10-19T00:00:00"/>
    <s v="Gtech Community Stadium"/>
    <n v="17118"/>
    <s v="Brentford"/>
    <n v="0"/>
    <s v="Chelsea"/>
    <n v="0"/>
    <n v="33.700000000000003"/>
    <n v="66.3"/>
    <n v="8"/>
    <n v="14"/>
    <n v="5"/>
    <n v="5"/>
    <n v="2"/>
    <n v="3"/>
    <n v="1"/>
    <n v="6"/>
    <n v="70"/>
    <n v="85.2"/>
    <n v="2"/>
    <n v="1"/>
    <n v="47.4"/>
    <n v="47.1"/>
    <n v="52.2"/>
    <n v="47.8"/>
    <n v="14118"/>
    <n v="15250"/>
    <x v="6"/>
    <n v="92"/>
  </r>
  <r>
    <d v="2022-10-19T00:00:00"/>
    <s v="The King Power Stadium"/>
    <n v="30814"/>
    <s v="Leicester City"/>
    <n v="2"/>
    <s v="Leeds United"/>
    <n v="0"/>
    <n v="46.8"/>
    <n v="53.2"/>
    <n v="5"/>
    <n v="14"/>
    <n v="1"/>
    <n v="2"/>
    <n v="1"/>
    <n v="8"/>
    <n v="3"/>
    <n v="4"/>
    <n v="78.3"/>
    <n v="78.400000000000006"/>
    <n v="1"/>
    <n v="1"/>
    <n v="53.8"/>
    <n v="53.3"/>
    <n v="33.299999999999997"/>
    <n v="66.7"/>
    <n v="27814"/>
    <n v="29261"/>
    <x v="9"/>
    <n v="95"/>
  </r>
  <r>
    <d v="2022-10-19T00:00:00"/>
    <s v="Stamford Bridge"/>
    <n v="39503"/>
    <s v="Chelsea"/>
    <n v="1"/>
    <s v="Manchester United"/>
    <n v="1"/>
    <n v="47.9"/>
    <n v="52.1"/>
    <n v="6"/>
    <n v="13"/>
    <n v="2"/>
    <n v="6"/>
    <n v="3"/>
    <n v="6"/>
    <n v="1"/>
    <n v="1"/>
    <n v="78"/>
    <n v="77.599999999999994"/>
    <n v="1"/>
    <n v="1"/>
    <n v="50"/>
    <n v="44.4"/>
    <n v="46.7"/>
    <n v="53.3"/>
    <n v="36503"/>
    <n v="37343"/>
    <x v="14"/>
    <n v="97"/>
  </r>
  <r>
    <d v="2022-10-19T00:00:00"/>
    <s v="St James' Park, Newcastle"/>
    <n v="52247"/>
    <s v="Newcastle United"/>
    <n v="1"/>
    <s v="Everton"/>
    <n v="0"/>
    <n v="49.8"/>
    <n v="50.2"/>
    <n v="16"/>
    <n v="1"/>
    <n v="4"/>
    <n v="0"/>
    <n v="9"/>
    <n v="1"/>
    <n v="3"/>
    <n v="0"/>
    <n v="76.8"/>
    <n v="76.2"/>
    <n v="1"/>
    <n v="0"/>
    <n v="77.8"/>
    <n v="44.4"/>
    <n v="64.7"/>
    <n v="35.299999999999997"/>
    <n v="49247"/>
    <n v="49350"/>
    <x v="4"/>
    <n v="99"/>
  </r>
  <r>
    <d v="2022-10-19T00:00:00"/>
    <s v="Old Trafford"/>
    <n v="73677"/>
    <s v="Manchester United"/>
    <n v="2"/>
    <s v="Tottenham Hotspur"/>
    <n v="0"/>
    <n v="51.9"/>
    <n v="48.1"/>
    <n v="28"/>
    <n v="9"/>
    <n v="10"/>
    <n v="2"/>
    <n v="9"/>
    <n v="5"/>
    <n v="9"/>
    <n v="2"/>
    <n v="85.4"/>
    <n v="84.3"/>
    <n v="2"/>
    <n v="1"/>
    <n v="70.599999999999994"/>
    <n v="50"/>
    <n v="61.1"/>
    <n v="38.9"/>
    <n v="70677"/>
    <n v="71310"/>
    <x v="4"/>
    <n v="99"/>
  </r>
  <r>
    <d v="2022-10-20T00:00:00"/>
    <s v="Goodison Park"/>
    <n v="38939"/>
    <s v="Everton"/>
    <n v="3"/>
    <s v="Crystal Palace"/>
    <n v="0"/>
    <n v="45.8"/>
    <n v="54.2"/>
    <n v="9"/>
    <n v="9"/>
    <n v="6"/>
    <n v="2"/>
    <n v="1"/>
    <n v="4"/>
    <n v="2"/>
    <n v="3"/>
    <n v="81.900000000000006"/>
    <n v="84.9"/>
    <n v="2"/>
    <n v="0"/>
    <n v="76.900000000000006"/>
    <n v="60"/>
    <n v="54.5"/>
    <n v="45.5"/>
    <n v="35939"/>
    <n v="36572"/>
    <x v="3"/>
    <n v="98"/>
  </r>
  <r>
    <d v="2022-10-20T00:00:00"/>
    <s v="Etihad Stadium"/>
    <n v="53223"/>
    <s v="Manchester City"/>
    <n v="3"/>
    <s v="Brighton and Hove Albion"/>
    <n v="1"/>
    <n v="48.4"/>
    <n v="51.6"/>
    <n v="10"/>
    <n v="8"/>
    <n v="4"/>
    <n v="2"/>
    <n v="3"/>
    <n v="3"/>
    <n v="3"/>
    <n v="3"/>
    <n v="82.5"/>
    <n v="84.5"/>
    <n v="2"/>
    <n v="1"/>
    <n v="64.3"/>
    <n v="37.5"/>
    <n v="11.1"/>
    <n v="88.9"/>
    <n v="50223"/>
    <n v="50400"/>
    <x v="4"/>
    <n v="99"/>
  </r>
  <r>
    <d v="2022-10-22T00:00:00"/>
    <s v="St. Mary's Stadium"/>
    <n v="31145"/>
    <s v="Southampton"/>
    <n v="1"/>
    <s v="Arsenal"/>
    <n v="1"/>
    <n v="40.700000000000003"/>
    <n v="59.3"/>
    <n v="10"/>
    <n v="12"/>
    <n v="3"/>
    <n v="3"/>
    <n v="3"/>
    <n v="4"/>
    <n v="4"/>
    <n v="5"/>
    <n v="80.400000000000006"/>
    <n v="86.1"/>
    <n v="1"/>
    <n v="3"/>
    <n v="66.7"/>
    <n v="56.3"/>
    <n v="50"/>
    <n v="50"/>
    <n v="28145"/>
    <n v="29384"/>
    <x v="9"/>
    <n v="95"/>
  </r>
  <r>
    <d v="2022-10-22T00:00:00"/>
    <s v="The City Ground"/>
    <n v="29245"/>
    <s v="Nottingham Forest"/>
    <n v="1"/>
    <s v="Liverpool"/>
    <n v="0"/>
    <n v="24.8"/>
    <n v="75.2"/>
    <n v="10"/>
    <n v="15"/>
    <n v="7"/>
    <n v="7"/>
    <n v="1"/>
    <n v="7"/>
    <n v="2"/>
    <n v="1"/>
    <n v="63.9"/>
    <n v="86.1"/>
    <n v="4"/>
    <n v="4"/>
    <n v="78.900000000000006"/>
    <n v="50"/>
    <n v="50"/>
    <n v="50"/>
    <n v="26245"/>
    <n v="27445"/>
    <x v="9"/>
    <n v="95"/>
  </r>
  <r>
    <d v="2022-10-22T00:00:00"/>
    <s v="Molineux"/>
    <n v="31425"/>
    <s v="Wolverhampton Wanderers"/>
    <n v="0"/>
    <s v="Leicester City"/>
    <n v="4"/>
    <n v="60.9"/>
    <n v="39.1"/>
    <n v="21"/>
    <n v="5"/>
    <n v="6"/>
    <n v="4"/>
    <n v="7"/>
    <n v="1"/>
    <n v="8"/>
    <n v="0"/>
    <n v="85.3"/>
    <n v="72.599999999999994"/>
    <n v="2"/>
    <n v="2"/>
    <n v="63.6"/>
    <n v="34.799999999999997"/>
    <n v="65.400000000000006"/>
    <n v="34.6"/>
    <n v="28425"/>
    <n v="29050"/>
    <x v="14"/>
    <n v="97"/>
  </r>
  <r>
    <d v="2022-10-22T00:00:00"/>
    <s v="Tottenham Hotspur Stadium"/>
    <n v="61726"/>
    <s v="Tottenham Hotspur"/>
    <n v="1"/>
    <s v="Newcastle United"/>
    <n v="2"/>
    <n v="52.4"/>
    <n v="47.6"/>
    <n v="17"/>
    <n v="13"/>
    <n v="5"/>
    <n v="5"/>
    <n v="4"/>
    <n v="3"/>
    <n v="8"/>
    <n v="5"/>
    <n v="79"/>
    <n v="81.2"/>
    <n v="2"/>
    <n v="1"/>
    <n v="58.8"/>
    <n v="73.3"/>
    <n v="54.3"/>
    <n v="45.7"/>
    <n v="58726"/>
    <n v="59850"/>
    <x v="3"/>
    <n v="98"/>
  </r>
  <r>
    <d v="2022-10-23T00:00:00"/>
    <s v="Craven Cottage"/>
    <n v="23534"/>
    <s v="Fulham"/>
    <n v="0"/>
    <s v="Everton"/>
    <n v="0"/>
    <n v="56.5"/>
    <n v="43.5"/>
    <n v="24"/>
    <n v="9"/>
    <n v="6"/>
    <n v="4"/>
    <n v="10"/>
    <n v="3"/>
    <n v="8"/>
    <n v="2"/>
    <n v="83.4"/>
    <n v="79.7"/>
    <n v="0"/>
    <n v="2"/>
    <n v="50"/>
    <n v="60"/>
    <n v="63.6"/>
    <n v="36.4"/>
    <n v="20534"/>
    <n v="25700"/>
    <x v="20"/>
    <n v="79"/>
  </r>
  <r>
    <d v="2022-10-23T00:00:00"/>
    <s v="Anfield"/>
    <n v="53274"/>
    <s v="Liverpool"/>
    <n v="1"/>
    <s v="Leeds United"/>
    <n v="2"/>
    <n v="69"/>
    <n v="31"/>
    <n v="22"/>
    <n v="14"/>
    <n v="10"/>
    <n v="6"/>
    <n v="8"/>
    <n v="6"/>
    <n v="4"/>
    <n v="2"/>
    <n v="81.599999999999994"/>
    <n v="63.2"/>
    <n v="3"/>
    <n v="1"/>
    <n v="52.9"/>
    <n v="33.299999999999997"/>
    <n v="50"/>
    <n v="50"/>
    <n v="50274"/>
    <n v="58000"/>
    <x v="10"/>
    <n v="86"/>
  </r>
  <r>
    <d v="2022-10-23T00:00:00"/>
    <s v="London Stadium"/>
    <n v="62447"/>
    <s v="West Ham United"/>
    <n v="2"/>
    <s v="Bournemouth"/>
    <n v="0"/>
    <n v="54.4"/>
    <n v="45.6"/>
    <n v="20"/>
    <n v="5"/>
    <n v="4"/>
    <n v="3"/>
    <n v="8"/>
    <n v="2"/>
    <n v="8"/>
    <n v="0"/>
    <n v="84.7"/>
    <n v="83.1"/>
    <n v="1"/>
    <n v="1"/>
    <n v="45.5"/>
    <n v="76.2"/>
    <n v="48.6"/>
    <n v="51.4"/>
    <n v="59447"/>
    <n v="65013"/>
    <x v="5"/>
    <n v="91"/>
  </r>
  <r>
    <d v="2022-10-23T00:00:00"/>
    <s v="Elland Road"/>
    <n v="36447"/>
    <s v="Leeds United"/>
    <n v="2"/>
    <s v="Fulham"/>
    <n v="3"/>
    <n v="57.2"/>
    <n v="42.8"/>
    <n v="14"/>
    <n v="11"/>
    <n v="5"/>
    <n v="5"/>
    <n v="4"/>
    <n v="3"/>
    <n v="5"/>
    <n v="3"/>
    <n v="79.900000000000006"/>
    <n v="71.8"/>
    <n v="3"/>
    <n v="5"/>
    <n v="40.9"/>
    <n v="56.3"/>
    <n v="45.2"/>
    <n v="54.8"/>
    <n v="33447"/>
    <n v="35220"/>
    <x v="0"/>
    <n v="94"/>
  </r>
  <r>
    <d v="2022-10-23T00:00:00"/>
    <s v="Villa Park"/>
    <n v="41693"/>
    <s v="Aston Villa"/>
    <n v="4"/>
    <s v="Brentford"/>
    <n v="0"/>
    <n v="45.1"/>
    <n v="54.9"/>
    <n v="19"/>
    <n v="12"/>
    <n v="11"/>
    <n v="3"/>
    <n v="3"/>
    <n v="5"/>
    <n v="5"/>
    <n v="4"/>
    <n v="75.099999999999994"/>
    <n v="76.099999999999994"/>
    <n v="2"/>
    <n v="1"/>
    <n v="60"/>
    <n v="50"/>
    <n v="41.7"/>
    <n v="58.3"/>
    <n v="38693"/>
    <n v="39000"/>
    <x v="4"/>
    <n v="99"/>
  </r>
  <r>
    <d v="2022-10-24T00:00:00"/>
    <s v="St James' Park, Newcastle"/>
    <n v="52233"/>
    <s v="Newcastle United"/>
    <n v="4"/>
    <s v="Aston Villa"/>
    <n v="0"/>
    <n v="59.5"/>
    <n v="40.5"/>
    <n v="20"/>
    <n v="3"/>
    <n v="7"/>
    <n v="0"/>
    <n v="10"/>
    <n v="0"/>
    <n v="3"/>
    <n v="3"/>
    <n v="78.8"/>
    <n v="73.900000000000006"/>
    <n v="3"/>
    <n v="0"/>
    <n v="60"/>
    <n v="47.4"/>
    <n v="61.9"/>
    <n v="38.1"/>
    <n v="49233"/>
    <n v="49350"/>
    <x v="4"/>
    <n v="99"/>
  </r>
  <r>
    <d v="2022-10-29T00:00:00"/>
    <s v="Vitality Stadium"/>
    <n v="10430"/>
    <s v="Bournemouth"/>
    <n v="2"/>
    <s v="Tottenham Hotspur"/>
    <n v="3"/>
    <n v="30.6"/>
    <n v="69.400000000000006"/>
    <n v="6"/>
    <n v="23"/>
    <n v="4"/>
    <n v="7"/>
    <n v="2"/>
    <n v="10"/>
    <n v="0"/>
    <n v="6"/>
    <n v="76.400000000000006"/>
    <n v="89.9"/>
    <n v="2"/>
    <n v="2"/>
    <n v="50"/>
    <n v="43.8"/>
    <n v="52.2"/>
    <n v="47.8"/>
    <n v="7430"/>
    <n v="9879"/>
    <x v="12"/>
    <n v="75"/>
  </r>
  <r>
    <d v="2022-10-29T00:00:00"/>
    <s v="Gtech Community Stadium"/>
    <n v="17051"/>
    <s v="Brentford"/>
    <n v="1"/>
    <s v="Wolverhampton Wanderers"/>
    <n v="1"/>
    <n v="57.8"/>
    <n v="42.2"/>
    <n v="12"/>
    <n v="13"/>
    <n v="3"/>
    <n v="4"/>
    <n v="6"/>
    <n v="6"/>
    <n v="3"/>
    <n v="3"/>
    <n v="80.400000000000006"/>
    <n v="75.3"/>
    <n v="1"/>
    <n v="0"/>
    <n v="52.9"/>
    <n v="35.299999999999997"/>
    <n v="62.1"/>
    <n v="37.9"/>
    <n v="14051"/>
    <n v="15250"/>
    <x v="6"/>
    <n v="92"/>
  </r>
  <r>
    <d v="2022-10-29T00:00:00"/>
    <s v="Selhurst Park"/>
    <n v="25130"/>
    <s v="Crystal Palace"/>
    <n v="1"/>
    <s v="Southampton"/>
    <n v="0"/>
    <n v="44.4"/>
    <n v="55.6"/>
    <n v="12"/>
    <n v="14"/>
    <n v="3"/>
    <n v="4"/>
    <n v="4"/>
    <n v="6"/>
    <n v="5"/>
    <n v="4"/>
    <n v="72.099999999999994"/>
    <n v="81.3"/>
    <n v="1"/>
    <n v="3"/>
    <n v="69.599999999999994"/>
    <n v="65"/>
    <n v="50"/>
    <n v="50"/>
    <n v="22130"/>
    <n v="23486"/>
    <x v="0"/>
    <n v="94"/>
  </r>
  <r>
    <d v="2022-10-29T00:00:00"/>
    <s v="Goodison Park"/>
    <n v="39206"/>
    <s v="Everton"/>
    <n v="0"/>
    <s v="Leicester City"/>
    <n v="2"/>
    <n v="48.4"/>
    <n v="51.6"/>
    <n v="12"/>
    <n v="22"/>
    <n v="2"/>
    <n v="8"/>
    <n v="5"/>
    <n v="7"/>
    <n v="5"/>
    <n v="7"/>
    <n v="80.5"/>
    <n v="85.4"/>
    <n v="2"/>
    <n v="3"/>
    <n v="50"/>
    <n v="61.5"/>
    <n v="76"/>
    <n v="24"/>
    <n v="36206"/>
    <n v="36572"/>
    <x v="3"/>
    <n v="98"/>
  </r>
  <r>
    <d v="2022-10-29T00:00:00"/>
    <s v="Emirates Stadium"/>
    <n v="60263"/>
    <s v="Arsenal"/>
    <n v="5"/>
    <s v="Nottingham Forest"/>
    <n v="0"/>
    <n v="69.099999999999994"/>
    <n v="30.9"/>
    <n v="24"/>
    <n v="5"/>
    <n v="10"/>
    <n v="2"/>
    <n v="5"/>
    <n v="2"/>
    <n v="9"/>
    <n v="1"/>
    <n v="89.2"/>
    <n v="75.599999999999994"/>
    <n v="3"/>
    <n v="0"/>
    <n v="64.3"/>
    <n v="56"/>
    <n v="43.5"/>
    <n v="56.5"/>
    <n v="57263"/>
    <n v="57704"/>
    <x v="4"/>
    <n v="99"/>
  </r>
  <r>
    <d v="2022-10-29T00:00:00"/>
    <s v="Old Trafford"/>
    <n v="73682"/>
    <s v="Manchester United"/>
    <n v="1"/>
    <s v="West Ham United"/>
    <n v="0"/>
    <n v="53"/>
    <n v="47"/>
    <n v="16"/>
    <n v="13"/>
    <n v="3"/>
    <n v="5"/>
    <n v="7"/>
    <n v="2"/>
    <n v="6"/>
    <n v="6"/>
    <n v="82.7"/>
    <n v="82.8"/>
    <n v="3"/>
    <n v="1"/>
    <n v="83.3"/>
    <n v="53.8"/>
    <n v="53.3"/>
    <n v="46.7"/>
    <n v="70682"/>
    <n v="71310"/>
    <x v="4"/>
    <n v="99"/>
  </r>
  <r>
    <d v="2022-10-29T00:00:00"/>
    <s v="The King Power Stadium"/>
    <n v="32223"/>
    <s v="Leicester City"/>
    <n v="0"/>
    <s v="Manchester City"/>
    <n v="1"/>
    <n v="35.700000000000003"/>
    <n v="64.3"/>
    <n v="10"/>
    <n v="15"/>
    <n v="5"/>
    <n v="5"/>
    <n v="4"/>
    <n v="6"/>
    <n v="1"/>
    <n v="4"/>
    <n v="80.3"/>
    <n v="90"/>
    <n v="1"/>
    <n v="0"/>
    <n v="75"/>
    <n v="57.1"/>
    <n v="45.8"/>
    <n v="54.2"/>
    <n v="29223"/>
    <n v="29261"/>
    <x v="4"/>
    <n v="99"/>
  </r>
  <r>
    <d v="2022-10-29T00:00:00"/>
    <s v="Amex Stadium"/>
    <n v="31746"/>
    <s v="Brighton and Hove Albion"/>
    <n v="4"/>
    <s v="Chelsea"/>
    <n v="1"/>
    <n v="41"/>
    <n v="59"/>
    <n v="19"/>
    <n v="15"/>
    <n v="9"/>
    <n v="7"/>
    <n v="7"/>
    <n v="5"/>
    <n v="3"/>
    <n v="3"/>
    <n v="79.099999999999994"/>
    <n v="86"/>
    <n v="2"/>
    <n v="1"/>
    <n v="61.1"/>
    <n v="50"/>
    <n v="47.8"/>
    <n v="52.2"/>
    <n v="28746"/>
    <n v="28876"/>
    <x v="4"/>
    <n v="99"/>
  </r>
  <r>
    <d v="2022-10-30T00:00:00"/>
    <s v="The City Ground"/>
    <n v="28869"/>
    <s v="Nottingham Forest"/>
    <n v="2"/>
    <s v="Brentford"/>
    <n v="2"/>
    <n v="47.2"/>
    <n v="52.8"/>
    <n v="15"/>
    <n v="6"/>
    <n v="7"/>
    <n v="2"/>
    <n v="6"/>
    <n v="3"/>
    <n v="2"/>
    <n v="1"/>
    <n v="75.7"/>
    <n v="76.900000000000006"/>
    <n v="2"/>
    <n v="1"/>
    <n v="61.1"/>
    <n v="75"/>
    <n v="53.3"/>
    <n v="46.7"/>
    <n v="25869"/>
    <n v="27445"/>
    <x v="0"/>
    <n v="94"/>
  </r>
  <r>
    <d v="2022-10-30T00:00:00"/>
    <s v="Molineux"/>
    <n v="30732"/>
    <s v="Wolverhampton Wanderers"/>
    <n v="2"/>
    <s v="Brighton and Hove Albion"/>
    <n v="3"/>
    <n v="28.6"/>
    <n v="71.400000000000006"/>
    <n v="8"/>
    <n v="19"/>
    <n v="5"/>
    <n v="8"/>
    <n v="1"/>
    <n v="7"/>
    <n v="2"/>
    <n v="4"/>
    <n v="75.400000000000006"/>
    <n v="90.2"/>
    <n v="1"/>
    <n v="1"/>
    <n v="38.9"/>
    <n v="78.599999999999994"/>
    <n v="34.799999999999997"/>
    <n v="65.2"/>
    <n v="27732"/>
    <n v="29050"/>
    <x v="9"/>
    <n v="95"/>
  </r>
  <r>
    <d v="2022-11-05T00:00:00"/>
    <s v="London Stadium"/>
    <n v="62451"/>
    <s v="West Ham United"/>
    <n v="1"/>
    <s v="Crystal Palace"/>
    <n v="2"/>
    <n v="42"/>
    <n v="58"/>
    <n v="5"/>
    <n v="15"/>
    <n v="2"/>
    <n v="6"/>
    <n v="3"/>
    <n v="2"/>
    <n v="0"/>
    <n v="7"/>
    <n v="80.400000000000006"/>
    <n v="87.1"/>
    <n v="0"/>
    <n v="1"/>
    <n v="56.3"/>
    <n v="69.2"/>
    <n v="54.5"/>
    <n v="45.5"/>
    <n v="59451"/>
    <n v="65013"/>
    <x v="5"/>
    <n v="91"/>
  </r>
  <r>
    <d v="2022-11-05T00:00:00"/>
    <s v="St. Mary's Stadium"/>
    <n v="30402"/>
    <s v="Southampton"/>
    <n v="1"/>
    <s v="Newcastle United"/>
    <n v="4"/>
    <n v="55.2"/>
    <n v="44.8"/>
    <n v="16"/>
    <n v="7"/>
    <n v="5"/>
    <n v="4"/>
    <n v="6"/>
    <n v="2"/>
    <n v="5"/>
    <n v="1"/>
    <n v="78.2"/>
    <n v="67.599999999999994"/>
    <n v="2"/>
    <n v="2"/>
    <n v="71.400000000000006"/>
    <n v="60"/>
    <n v="47.1"/>
    <n v="52.9"/>
    <n v="27402"/>
    <n v="29384"/>
    <x v="16"/>
    <n v="93"/>
  </r>
  <r>
    <d v="2022-11-05T00:00:00"/>
    <s v="Elland Road"/>
    <n v="36304"/>
    <s v="Leeds United"/>
    <n v="4"/>
    <s v="Bournemouth"/>
    <n v="3"/>
    <n v="60.9"/>
    <n v="39.1"/>
    <n v="18"/>
    <n v="9"/>
    <n v="4"/>
    <n v="6"/>
    <n v="6"/>
    <n v="2"/>
    <n v="8"/>
    <n v="1"/>
    <n v="81.7"/>
    <n v="73"/>
    <n v="1"/>
    <n v="2"/>
    <n v="65.400000000000006"/>
    <n v="73.3"/>
    <n v="65.8"/>
    <n v="34.200000000000003"/>
    <n v="33304"/>
    <n v="35220"/>
    <x v="0"/>
    <n v="94"/>
  </r>
  <r>
    <d v="2022-11-05T00:00:00"/>
    <s v="Tottenham Hotspur Stadium"/>
    <n v="62008"/>
    <s v="Tottenham Hotspur"/>
    <n v="1"/>
    <s v="Liverpool"/>
    <n v="2"/>
    <n v="46.6"/>
    <n v="53.4"/>
    <n v="14"/>
    <n v="13"/>
    <n v="5"/>
    <n v="6"/>
    <n v="6"/>
    <n v="3"/>
    <n v="3"/>
    <n v="4"/>
    <n v="82.6"/>
    <n v="83.6"/>
    <n v="3"/>
    <n v="1"/>
    <n v="73.3"/>
    <n v="50"/>
    <n v="53.8"/>
    <n v="46.2"/>
    <n v="59008"/>
    <n v="59850"/>
    <x v="3"/>
    <n v="98"/>
  </r>
  <r>
    <d v="2022-11-05T00:00:00"/>
    <s v="Etihad Stadium"/>
    <n v="52395"/>
    <s v="Manchester City"/>
    <n v="2"/>
    <s v="Fulham"/>
    <n v="1"/>
    <n v="70.599999999999994"/>
    <n v="29.4"/>
    <n v="16"/>
    <n v="4"/>
    <n v="5"/>
    <n v="2"/>
    <n v="5"/>
    <n v="1"/>
    <n v="6"/>
    <n v="1"/>
    <n v="91.1"/>
    <n v="79.3"/>
    <n v="3"/>
    <n v="0"/>
    <n v="12.5"/>
    <n v="73.3"/>
    <n v="54.5"/>
    <n v="45.5"/>
    <n v="49395"/>
    <n v="50400"/>
    <x v="3"/>
    <n v="98"/>
  </r>
  <r>
    <d v="2022-11-06T00:00:00"/>
    <s v="London Stadium"/>
    <n v="62459"/>
    <s v="West Ham United"/>
    <n v="0"/>
    <s v="Leicester City"/>
    <n v="2"/>
    <n v="53.6"/>
    <n v="46.4"/>
    <n v="18"/>
    <n v="9"/>
    <n v="6"/>
    <n v="6"/>
    <n v="9"/>
    <n v="2"/>
    <n v="3"/>
    <n v="1"/>
    <n v="77.400000000000006"/>
    <n v="78.2"/>
    <n v="0"/>
    <n v="1"/>
    <n v="66.7"/>
    <n v="47.4"/>
    <n v="63.6"/>
    <n v="36.4"/>
    <n v="59459"/>
    <n v="65013"/>
    <x v="5"/>
    <n v="91"/>
  </r>
  <r>
    <d v="2022-11-06T00:00:00"/>
    <s v="St James' Park, Newcastle"/>
    <n v="52264"/>
    <s v="Newcastle United"/>
    <n v="1"/>
    <s v="Chelsea"/>
    <n v="0"/>
    <n v="48.9"/>
    <n v="51.1"/>
    <n v="10"/>
    <n v="5"/>
    <n v="3"/>
    <n v="2"/>
    <n v="3"/>
    <n v="2"/>
    <n v="4"/>
    <n v="1"/>
    <n v="82.7"/>
    <n v="84.1"/>
    <n v="2"/>
    <n v="0"/>
    <n v="65.2"/>
    <n v="65.2"/>
    <n v="72.7"/>
    <n v="27.3"/>
    <n v="49264"/>
    <n v="49350"/>
    <x v="4"/>
    <n v="99"/>
  </r>
  <r>
    <d v="2022-11-06T00:00:00"/>
    <s v="Stamford Bridge"/>
    <n v="40142"/>
    <s v="Chelsea"/>
    <n v="0"/>
    <s v="Arsenal"/>
    <n v="1"/>
    <n v="44.3"/>
    <n v="55.7"/>
    <n v="5"/>
    <n v="14"/>
    <n v="1"/>
    <n v="2"/>
    <n v="1"/>
    <n v="9"/>
    <n v="3"/>
    <n v="3"/>
    <n v="73.099999999999994"/>
    <n v="82.1"/>
    <n v="0"/>
    <n v="2"/>
    <n v="54.2"/>
    <n v="58.8"/>
    <n v="56.7"/>
    <n v="43.3"/>
    <n v="37142"/>
    <n v="37343"/>
    <x v="4"/>
    <n v="99"/>
  </r>
  <r>
    <d v="2022-11-06T00:00:00"/>
    <s v="Villa Park"/>
    <n v="42058"/>
    <s v="Aston Villa"/>
    <n v="3"/>
    <s v="Manchester United"/>
    <n v="1"/>
    <n v="41.8"/>
    <n v="58.2"/>
    <n v="6"/>
    <n v="8"/>
    <n v="4"/>
    <n v="3"/>
    <n v="2"/>
    <n v="2"/>
    <n v="0"/>
    <n v="3"/>
    <n v="83.5"/>
    <n v="85.3"/>
    <n v="1"/>
    <n v="0"/>
    <n v="31.3"/>
    <n v="66.7"/>
    <n v="50"/>
    <n v="50"/>
    <n v="39058"/>
    <n v="39000"/>
    <x v="8"/>
    <n v="100"/>
  </r>
  <r>
    <d v="2022-11-12T00:00:00"/>
    <s v="Vitality Stadium"/>
    <n v="10382"/>
    <s v="Bournemouth"/>
    <n v="3"/>
    <s v="Everton"/>
    <n v="0"/>
    <n v="35.799999999999997"/>
    <n v="64.2"/>
    <n v="16"/>
    <n v="15"/>
    <n v="9"/>
    <n v="3"/>
    <n v="4"/>
    <n v="6"/>
    <n v="3"/>
    <n v="6"/>
    <n v="73.099999999999994"/>
    <n v="85.6"/>
    <n v="2"/>
    <n v="1"/>
    <n v="66.7"/>
    <n v="50"/>
    <n v="56.7"/>
    <n v="43.3"/>
    <n v="7382"/>
    <n v="9879"/>
    <x v="15"/>
    <n v="74"/>
  </r>
  <r>
    <d v="2022-11-12T00:00:00"/>
    <s v="Anfield"/>
    <n v="53331"/>
    <s v="Liverpool"/>
    <n v="3"/>
    <s v="Southampton"/>
    <n v="1"/>
    <n v="59.9"/>
    <n v="40.1"/>
    <n v="15"/>
    <n v="9"/>
    <n v="7"/>
    <n v="5"/>
    <n v="6"/>
    <n v="3"/>
    <n v="2"/>
    <n v="1"/>
    <n v="86.3"/>
    <n v="80"/>
    <n v="6"/>
    <n v="3"/>
    <n v="41.7"/>
    <n v="50"/>
    <n v="55"/>
    <n v="45"/>
    <n v="50331"/>
    <n v="58000"/>
    <x v="10"/>
    <n v="86"/>
  </r>
  <r>
    <d v="2022-11-12T00:00:00"/>
    <s v="The City Ground"/>
    <n v="29045"/>
    <s v="Nottingham Forest"/>
    <n v="1"/>
    <s v="Crystal Palace"/>
    <n v="0"/>
    <n v="31.5"/>
    <n v="68.5"/>
    <n v="9"/>
    <n v="8"/>
    <n v="2"/>
    <n v="0"/>
    <n v="6"/>
    <n v="7"/>
    <n v="1"/>
    <n v="1"/>
    <n v="71.5"/>
    <n v="87"/>
    <n v="0"/>
    <n v="0"/>
    <n v="57.1"/>
    <n v="54.5"/>
    <n v="39.1"/>
    <n v="60.9"/>
    <n v="26045"/>
    <n v="27445"/>
    <x v="0"/>
    <n v="94"/>
  </r>
  <r>
    <d v="2022-11-12T00:00:00"/>
    <s v="Etihad Stadium"/>
    <n v="52786"/>
    <s v="Manchester City"/>
    <n v="1"/>
    <s v="Brentford"/>
    <n v="2"/>
    <n v="74.599999999999994"/>
    <n v="25.4"/>
    <n v="29"/>
    <n v="10"/>
    <n v="6"/>
    <n v="8"/>
    <n v="9"/>
    <n v="1"/>
    <n v="14"/>
    <n v="1"/>
    <n v="85.2"/>
    <n v="56.9"/>
    <n v="1"/>
    <n v="5"/>
    <n v="77.8"/>
    <n v="27.3"/>
    <n v="52.4"/>
    <n v="47.6"/>
    <n v="49786"/>
    <n v="50400"/>
    <x v="3"/>
    <n v="98"/>
  </r>
  <r>
    <d v="2022-11-12T00:00:00"/>
    <s v="Tottenham Hotspur Stadium"/>
    <n v="61667"/>
    <s v="Tottenham Hotspur"/>
    <n v="4"/>
    <s v="Leeds United"/>
    <n v="3"/>
    <n v="54.7"/>
    <n v="45.3"/>
    <n v="14"/>
    <n v="12"/>
    <n v="8"/>
    <n v="5"/>
    <n v="3"/>
    <n v="2"/>
    <n v="3"/>
    <n v="5"/>
    <n v="82.6"/>
    <n v="78.900000000000006"/>
    <n v="4"/>
    <n v="4"/>
    <n v="66.7"/>
    <n v="52.6"/>
    <n v="51.9"/>
    <n v="48.1"/>
    <n v="58667"/>
    <n v="59850"/>
    <x v="3"/>
    <n v="98"/>
  </r>
  <r>
    <d v="2022-11-13T00:00:00"/>
    <s v="Craven Cottage"/>
    <n v="24246"/>
    <s v="Fulham"/>
    <n v="1"/>
    <s v="Manchester United"/>
    <n v="2"/>
    <n v="52.7"/>
    <n v="47.3"/>
    <n v="14"/>
    <n v="14"/>
    <n v="7"/>
    <n v="9"/>
    <n v="5"/>
    <n v="3"/>
    <n v="2"/>
    <n v="2"/>
    <n v="79.400000000000006"/>
    <n v="79.400000000000006"/>
    <n v="1"/>
    <n v="6"/>
    <n v="44.4"/>
    <n v="58.3"/>
    <n v="39.299999999999997"/>
    <n v="60.7"/>
    <n v="21246"/>
    <n v="25700"/>
    <x v="21"/>
    <n v="82"/>
  </r>
  <r>
    <d v="2022-11-13T00:00:00"/>
    <s v="Amex Stadium"/>
    <n v="31581"/>
    <s v="Brighton and Hove Albion"/>
    <n v="1"/>
    <s v="Aston Villa"/>
    <n v="2"/>
    <n v="65.099999999999994"/>
    <n v="34.9"/>
    <n v="7"/>
    <n v="8"/>
    <n v="2"/>
    <n v="2"/>
    <n v="1"/>
    <n v="3"/>
    <n v="4"/>
    <n v="3"/>
    <n v="86.3"/>
    <n v="72"/>
    <n v="1"/>
    <n v="0"/>
    <n v="42.9"/>
    <n v="52.2"/>
    <n v="55.6"/>
    <n v="44.4"/>
    <n v="28581"/>
    <n v="28876"/>
    <x v="3"/>
    <n v="98"/>
  </r>
  <r>
    <d v="2022-12-26T00:00:00"/>
    <s v="Gtech Community Stadium"/>
    <n v="17137"/>
    <s v="Brentford"/>
    <n v="2"/>
    <s v="Tottenham Hotspur"/>
    <n v="2"/>
    <n v="39.1"/>
    <n v="60.9"/>
    <n v="9"/>
    <n v="15"/>
    <n v="5"/>
    <n v="8"/>
    <n v="3"/>
    <n v="2"/>
    <n v="1"/>
    <n v="5"/>
    <n v="63.6"/>
    <n v="81.8"/>
    <n v="2"/>
    <n v="0"/>
    <n v="25"/>
    <n v="44.4"/>
    <n v="33.299999999999997"/>
    <n v="66.7"/>
    <n v="14137"/>
    <n v="15250"/>
    <x v="6"/>
    <n v="92"/>
  </r>
  <r>
    <d v="2022-12-26T00:00:00"/>
    <s v="Selhurst Park"/>
    <n v="25176"/>
    <s v="Crystal Palace"/>
    <n v="0"/>
    <s v="Fulham"/>
    <n v="3"/>
    <n v="36.200000000000003"/>
    <n v="63.8"/>
    <n v="4"/>
    <n v="23"/>
    <n v="0"/>
    <n v="11"/>
    <n v="3"/>
    <n v="6"/>
    <n v="1"/>
    <n v="6"/>
    <n v="74.5"/>
    <n v="85.8"/>
    <n v="0"/>
    <n v="2"/>
    <n v="73.3"/>
    <n v="56.3"/>
    <n v="28.6"/>
    <n v="71.400000000000006"/>
    <n v="22176"/>
    <n v="23486"/>
    <x v="0"/>
    <n v="94"/>
  </r>
  <r>
    <d v="2022-12-26T00:00:00"/>
    <s v="St. Mary's Stadium"/>
    <n v="31010"/>
    <s v="Southampton"/>
    <n v="1"/>
    <s v="Brighton and Hove Albion"/>
    <n v="3"/>
    <n v="33.6"/>
    <n v="66.400000000000006"/>
    <n v="14"/>
    <n v="7"/>
    <n v="4"/>
    <n v="4"/>
    <n v="7"/>
    <n v="2"/>
    <n v="3"/>
    <n v="1"/>
    <n v="77.2"/>
    <n v="86.8"/>
    <n v="0"/>
    <n v="1"/>
    <n v="62.5"/>
    <n v="38.1"/>
    <n v="45.2"/>
    <n v="54.8"/>
    <n v="28010"/>
    <n v="29384"/>
    <x v="9"/>
    <n v="95"/>
  </r>
  <r>
    <d v="2022-12-26T00:00:00"/>
    <s v="Emirates Stadium"/>
    <n v="60125"/>
    <s v="Arsenal"/>
    <n v="3"/>
    <s v="West Ham United"/>
    <n v="1"/>
    <n v="66.5"/>
    <n v="33.5"/>
    <n v="16"/>
    <n v="8"/>
    <n v="5"/>
    <n v="4"/>
    <n v="6"/>
    <n v="4"/>
    <n v="5"/>
    <n v="0"/>
    <n v="89.5"/>
    <n v="75.5"/>
    <n v="3"/>
    <n v="0"/>
    <n v="66.7"/>
    <n v="50"/>
    <n v="48.4"/>
    <n v="51.6"/>
    <n v="57125"/>
    <n v="57704"/>
    <x v="3"/>
    <n v="98"/>
  </r>
  <r>
    <d v="2022-12-26T00:00:00"/>
    <s v="Goodison Park"/>
    <n v="39252"/>
    <s v="Everton"/>
    <n v="1"/>
    <s v="Wolverhampton Wanderers"/>
    <n v="2"/>
    <n v="58.8"/>
    <n v="41.2"/>
    <n v="12"/>
    <n v="7"/>
    <n v="6"/>
    <n v="4"/>
    <n v="4"/>
    <n v="2"/>
    <n v="2"/>
    <n v="1"/>
    <n v="84.8"/>
    <n v="75.5"/>
    <n v="2"/>
    <n v="1"/>
    <n v="76.5"/>
    <n v="63.2"/>
    <n v="50"/>
    <n v="50"/>
    <n v="36252"/>
    <n v="36572"/>
    <x v="4"/>
    <n v="99"/>
  </r>
  <r>
    <d v="2022-12-26T00:00:00"/>
    <s v="The King Power Stadium"/>
    <n v="32185"/>
    <s v="Leicester City"/>
    <n v="0"/>
    <s v="Newcastle United"/>
    <n v="3"/>
    <n v="60.1"/>
    <n v="39.9"/>
    <n v="8"/>
    <n v="12"/>
    <n v="2"/>
    <n v="5"/>
    <n v="2"/>
    <n v="4"/>
    <n v="4"/>
    <n v="3"/>
    <n v="82.1"/>
    <n v="74.2"/>
    <n v="0"/>
    <n v="2"/>
    <n v="66.7"/>
    <n v="58.3"/>
    <n v="36.700000000000003"/>
    <n v="63.3"/>
    <n v="29185"/>
    <n v="29261"/>
    <x v="4"/>
    <n v="99"/>
  </r>
  <r>
    <d v="2022-12-26T00:00:00"/>
    <s v="Villa Park"/>
    <n v="42085"/>
    <s v="Aston Villa"/>
    <n v="1"/>
    <s v="Liverpool"/>
    <n v="3"/>
    <n v="48.1"/>
    <n v="51.9"/>
    <n v="12"/>
    <n v="16"/>
    <n v="6"/>
    <n v="9"/>
    <n v="3"/>
    <n v="6"/>
    <n v="3"/>
    <n v="1"/>
    <n v="80.900000000000006"/>
    <n v="81.7"/>
    <n v="3"/>
    <n v="5"/>
    <n v="25"/>
    <n v="36.799999999999997"/>
    <n v="42.9"/>
    <n v="57.1"/>
    <n v="39085"/>
    <n v="39000"/>
    <x v="8"/>
    <n v="100"/>
  </r>
  <r>
    <d v="2022-12-27T00:00:00"/>
    <s v="Stamford Bridge"/>
    <n v="40046"/>
    <s v="Chelsea"/>
    <n v="2"/>
    <s v="Bournemouth"/>
    <n v="0"/>
    <n v="60.3"/>
    <n v="39.700000000000003"/>
    <n v="15"/>
    <n v="9"/>
    <n v="5"/>
    <n v="4"/>
    <n v="7"/>
    <n v="4"/>
    <n v="3"/>
    <n v="1"/>
    <n v="88.3"/>
    <n v="81.2"/>
    <n v="2"/>
    <n v="0"/>
    <n v="58.8"/>
    <n v="64.7"/>
    <n v="42.1"/>
    <n v="57.9"/>
    <n v="37046"/>
    <n v="37343"/>
    <x v="4"/>
    <n v="99"/>
  </r>
  <r>
    <d v="2022-12-27T00:00:00"/>
    <s v="Old Trafford"/>
    <n v="73608"/>
    <s v="Manchester United"/>
    <n v="3"/>
    <s v="Nottingham Forest"/>
    <n v="0"/>
    <n v="65.8"/>
    <n v="34.200000000000003"/>
    <n v="17"/>
    <n v="8"/>
    <n v="8"/>
    <n v="3"/>
    <n v="3"/>
    <n v="3"/>
    <n v="6"/>
    <n v="2"/>
    <n v="87"/>
    <n v="71.3"/>
    <n v="3"/>
    <n v="0"/>
    <n v="50"/>
    <n v="64.7"/>
    <n v="53.8"/>
    <n v="46.2"/>
    <n v="70608"/>
    <n v="71310"/>
    <x v="4"/>
    <n v="99"/>
  </r>
  <r>
    <d v="2022-12-28T00:00:00"/>
    <s v="Elland Road"/>
    <n v="36889"/>
    <s v="Leeds United"/>
    <n v="1"/>
    <s v="Manchester City"/>
    <n v="3"/>
    <n v="31"/>
    <n v="69"/>
    <n v="9"/>
    <n v="26"/>
    <n v="1"/>
    <n v="9"/>
    <n v="4"/>
    <n v="12"/>
    <n v="4"/>
    <n v="5"/>
    <n v="73.3"/>
    <n v="87.5"/>
    <n v="0"/>
    <n v="6"/>
    <n v="46.2"/>
    <n v="53.8"/>
    <n v="41.7"/>
    <n v="58.3"/>
    <n v="33889"/>
    <n v="35220"/>
    <x v="7"/>
    <n v="96"/>
  </r>
  <r>
    <d v="2022-12-30T00:00:00"/>
    <s v="Anfield"/>
    <n v="53343"/>
    <s v="Liverpool"/>
    <n v="2"/>
    <s v="Leicester City"/>
    <n v="1"/>
    <n v="57"/>
    <n v="43"/>
    <n v="21"/>
    <n v="7"/>
    <n v="5"/>
    <n v="2"/>
    <n v="10"/>
    <n v="3"/>
    <n v="6"/>
    <n v="2"/>
    <n v="84.4"/>
    <n v="78.599999999999994"/>
    <n v="3"/>
    <n v="3"/>
    <n v="66.7"/>
    <n v="35.700000000000003"/>
    <n v="46.7"/>
    <n v="53.3"/>
    <n v="50343"/>
    <n v="58000"/>
    <x v="10"/>
    <n v="86"/>
  </r>
  <r>
    <d v="2022-12-30T00:00:00"/>
    <s v="London Stadium"/>
    <n v="62467"/>
    <s v="West Ham United"/>
    <n v="0"/>
    <s v="Brentford"/>
    <n v="2"/>
    <n v="63.1"/>
    <n v="36.9"/>
    <n v="20"/>
    <n v="9"/>
    <n v="5"/>
    <n v="6"/>
    <n v="9"/>
    <n v="2"/>
    <n v="6"/>
    <n v="1"/>
    <n v="86.5"/>
    <n v="75"/>
    <n v="0"/>
    <n v="1"/>
    <n v="41.7"/>
    <n v="50"/>
    <n v="54.8"/>
    <n v="45.2"/>
    <n v="59467"/>
    <n v="65013"/>
    <x v="5"/>
    <n v="91"/>
  </r>
  <r>
    <d v="2022-12-31T00:00:00"/>
    <s v="Vitality Stadium"/>
    <n v="9972"/>
    <s v="Bournemouth"/>
    <n v="0"/>
    <s v="Crystal Palace"/>
    <n v="2"/>
    <n v="58.9"/>
    <n v="41.1"/>
    <n v="6"/>
    <n v="15"/>
    <n v="2"/>
    <n v="6"/>
    <n v="3"/>
    <n v="4"/>
    <n v="1"/>
    <n v="5"/>
    <n v="75.2"/>
    <n v="68.8"/>
    <n v="0"/>
    <n v="2"/>
    <n v="58.8"/>
    <n v="56.7"/>
    <n v="52"/>
    <n v="48"/>
    <n v="6972"/>
    <n v="9879"/>
    <x v="1"/>
    <n v="70"/>
  </r>
  <r>
    <d v="2022-12-31T00:00:00"/>
    <s v="Craven Cottage"/>
    <n v="24344"/>
    <s v="Fulham"/>
    <n v="2"/>
    <s v="Southampton"/>
    <n v="1"/>
    <n v="62.5"/>
    <n v="37.5"/>
    <n v="8"/>
    <n v="9"/>
    <n v="2"/>
    <n v="3"/>
    <n v="5"/>
    <n v="4"/>
    <n v="1"/>
    <n v="2"/>
    <n v="80.099999999999994"/>
    <n v="65.5"/>
    <n v="1"/>
    <n v="1"/>
    <n v="52.6"/>
    <n v="66.7"/>
    <n v="40.6"/>
    <n v="59.4"/>
    <n v="21344"/>
    <n v="25700"/>
    <x v="22"/>
    <n v="83"/>
  </r>
  <r>
    <d v="2022-12-31T00:00:00"/>
    <s v="Molineux"/>
    <n v="31658"/>
    <s v="Wolverhampton Wanderers"/>
    <n v="0"/>
    <s v="Manchester United"/>
    <n v="1"/>
    <n v="45.7"/>
    <n v="54.3"/>
    <n v="10"/>
    <n v="16"/>
    <n v="3"/>
    <n v="6"/>
    <n v="1"/>
    <n v="5"/>
    <n v="6"/>
    <n v="5"/>
    <n v="76.400000000000006"/>
    <n v="81.2"/>
    <n v="0"/>
    <n v="1"/>
    <n v="37.5"/>
    <n v="29.4"/>
    <n v="41.2"/>
    <n v="58.8"/>
    <n v="28658"/>
    <n v="29050"/>
    <x v="3"/>
    <n v="98"/>
  </r>
  <r>
    <d v="2022-12-31T00:00:00"/>
    <s v="St James' Park, Newcastle"/>
    <n v="52211"/>
    <s v="Newcastle United"/>
    <n v="0"/>
    <s v="Leeds United"/>
    <n v="0"/>
    <n v="59"/>
    <n v="41"/>
    <n v="16"/>
    <n v="8"/>
    <n v="5"/>
    <n v="1"/>
    <n v="9"/>
    <n v="3"/>
    <n v="2"/>
    <n v="4"/>
    <n v="77.3"/>
    <n v="63.6"/>
    <n v="7"/>
    <n v="0"/>
    <n v="50"/>
    <n v="56.3"/>
    <n v="55.6"/>
    <n v="44.4"/>
    <n v="49211"/>
    <n v="49350"/>
    <x v="4"/>
    <n v="99"/>
  </r>
  <r>
    <d v="2022-12-31T00:00:00"/>
    <s v="Amex Stadium"/>
    <n v="31647"/>
    <s v="Brighton and Hove Albion"/>
    <n v="2"/>
    <s v="Arsenal"/>
    <n v="4"/>
    <n v="67.8"/>
    <n v="32.200000000000003"/>
    <n v="9"/>
    <n v="14"/>
    <n v="5"/>
    <n v="7"/>
    <n v="2"/>
    <n v="3"/>
    <n v="2"/>
    <n v="4"/>
    <n v="88.3"/>
    <n v="72.599999999999994"/>
    <n v="1"/>
    <n v="2"/>
    <n v="50"/>
    <n v="47.4"/>
    <n v="60"/>
    <n v="40"/>
    <n v="28647"/>
    <n v="28876"/>
    <x v="4"/>
    <n v="99"/>
  </r>
  <r>
    <d v="2022-12-31T00:00:00"/>
    <s v="Etihad Stadium"/>
    <n v="53444"/>
    <s v="Manchester City"/>
    <n v="1"/>
    <s v="Everton"/>
    <n v="1"/>
    <n v="73.7"/>
    <n v="26.3"/>
    <n v="16"/>
    <n v="2"/>
    <n v="3"/>
    <n v="1"/>
    <n v="6"/>
    <n v="0"/>
    <n v="7"/>
    <n v="1"/>
    <n v="90.2"/>
    <n v="77.7"/>
    <n v="4"/>
    <n v="0"/>
    <n v="53.8"/>
    <n v="53.8"/>
    <n v="56.3"/>
    <n v="43.8"/>
    <n v="50444"/>
    <n v="50400"/>
    <x v="8"/>
    <n v="100"/>
  </r>
  <r>
    <d v="2023-01-01T00:00:00"/>
    <s v="The City Ground"/>
    <n v="29229"/>
    <s v="Nottingham Forest"/>
    <n v="1"/>
    <s v="Chelsea"/>
    <n v="1"/>
    <n v="27.7"/>
    <n v="72.3"/>
    <n v="12"/>
    <n v="7"/>
    <n v="5"/>
    <n v="2"/>
    <n v="4"/>
    <n v="2"/>
    <n v="3"/>
    <n v="3"/>
    <n v="76.599999999999994"/>
    <n v="89.4"/>
    <n v="0"/>
    <n v="1"/>
    <n v="55.6"/>
    <n v="56.3"/>
    <n v="46.2"/>
    <n v="53.8"/>
    <n v="26229"/>
    <n v="27445"/>
    <x v="9"/>
    <n v="95"/>
  </r>
  <r>
    <d v="2023-01-01T00:00:00"/>
    <s v="Tottenham Hotspur Stadium"/>
    <n v="61651"/>
    <s v="Tottenham Hotspur"/>
    <n v="0"/>
    <s v="Aston Villa"/>
    <n v="2"/>
    <n v="59.3"/>
    <n v="40.700000000000003"/>
    <n v="6"/>
    <n v="13"/>
    <n v="2"/>
    <n v="4"/>
    <n v="2"/>
    <n v="4"/>
    <n v="2"/>
    <n v="5"/>
    <n v="86"/>
    <n v="79.7"/>
    <n v="1"/>
    <n v="1"/>
    <n v="57.1"/>
    <n v="50"/>
    <n v="58.8"/>
    <n v="41.2"/>
    <n v="58651"/>
    <n v="59850"/>
    <x v="14"/>
    <n v="97"/>
  </r>
  <r>
    <d v="2023-01-02T00:00:00"/>
    <s v="Gtech Community Stadium"/>
    <n v="17163"/>
    <s v="Brentford"/>
    <n v="3"/>
    <s v="Liverpool"/>
    <n v="1"/>
    <n v="27"/>
    <n v="73"/>
    <n v="10"/>
    <n v="16"/>
    <n v="7"/>
    <n v="6"/>
    <n v="2"/>
    <n v="3"/>
    <n v="1"/>
    <n v="7"/>
    <n v="49.8"/>
    <n v="83.3"/>
    <n v="1"/>
    <n v="3"/>
    <n v="41.2"/>
    <n v="55.6"/>
    <n v="48.4"/>
    <n v="51.6"/>
    <n v="14163"/>
    <n v="15250"/>
    <x v="6"/>
    <n v="92"/>
  </r>
  <r>
    <d v="2023-01-03T00:00:00"/>
    <s v="The King Power Stadium"/>
    <n v="30813"/>
    <s v="Leicester City"/>
    <n v="0"/>
    <s v="Fulham"/>
    <n v="1"/>
    <n v="61.4"/>
    <n v="38.6"/>
    <n v="15"/>
    <n v="11"/>
    <n v="6"/>
    <n v="2"/>
    <n v="6"/>
    <n v="7"/>
    <n v="3"/>
    <n v="2"/>
    <n v="81.8"/>
    <n v="75.400000000000006"/>
    <n v="3"/>
    <n v="2"/>
    <n v="82.4"/>
    <n v="61.5"/>
    <n v="56.5"/>
    <n v="43.5"/>
    <n v="27813"/>
    <n v="29261"/>
    <x v="9"/>
    <n v="95"/>
  </r>
  <r>
    <d v="2023-01-03T00:00:00"/>
    <s v="Old Trafford"/>
    <n v="73322"/>
    <s v="Manchester United"/>
    <n v="3"/>
    <s v="Bournemouth"/>
    <n v="0"/>
    <n v="58.5"/>
    <n v="41.5"/>
    <n v="18"/>
    <n v="7"/>
    <n v="6"/>
    <n v="4"/>
    <n v="6"/>
    <n v="2"/>
    <n v="6"/>
    <n v="1"/>
    <n v="85.5"/>
    <n v="79.099999999999994"/>
    <n v="4"/>
    <n v="1"/>
    <n v="66.7"/>
    <n v="33.299999999999997"/>
    <n v="40"/>
    <n v="60"/>
    <n v="70322"/>
    <n v="71310"/>
    <x v="3"/>
    <n v="98"/>
  </r>
  <r>
    <d v="2023-01-03T00:00:00"/>
    <s v="Emirates Stadium"/>
    <n v="60319"/>
    <s v="Arsenal"/>
    <n v="0"/>
    <s v="Newcastle United"/>
    <n v="0"/>
    <n v="66.8"/>
    <n v="33.200000000000003"/>
    <n v="17"/>
    <n v="8"/>
    <n v="4"/>
    <n v="1"/>
    <n v="8"/>
    <n v="5"/>
    <n v="5"/>
    <n v="2"/>
    <n v="85.8"/>
    <n v="71.5"/>
    <n v="0"/>
    <n v="2"/>
    <n v="61.5"/>
    <n v="69.599999999999994"/>
    <n v="42.9"/>
    <n v="57.1"/>
    <n v="57319"/>
    <n v="57704"/>
    <x v="4"/>
    <n v="99"/>
  </r>
  <r>
    <d v="2023-01-04T00:00:00"/>
    <s v="St. Mary's Stadium"/>
    <n v="30150"/>
    <s v="Southampton"/>
    <n v="0"/>
    <s v="Nottingham Forest"/>
    <n v="1"/>
    <n v="62.5"/>
    <n v="37.5"/>
    <n v="8"/>
    <n v="11"/>
    <n v="0"/>
    <n v="1"/>
    <n v="6"/>
    <n v="9"/>
    <n v="2"/>
    <n v="1"/>
    <n v="78"/>
    <n v="63.6"/>
    <n v="1"/>
    <n v="2"/>
    <n v="50"/>
    <n v="50"/>
    <n v="45.5"/>
    <n v="54.5"/>
    <n v="27150"/>
    <n v="29384"/>
    <x v="6"/>
    <n v="92"/>
  </r>
  <r>
    <d v="2023-01-04T00:00:00"/>
    <s v="Elland Road"/>
    <n v="36173"/>
    <s v="Leeds United"/>
    <n v="2"/>
    <s v="West Ham United"/>
    <n v="2"/>
    <n v="63.3"/>
    <n v="36.700000000000003"/>
    <n v="14"/>
    <n v="15"/>
    <n v="6"/>
    <n v="2"/>
    <n v="6"/>
    <n v="11"/>
    <n v="2"/>
    <n v="2"/>
    <n v="79.400000000000006"/>
    <n v="62.5"/>
    <n v="1"/>
    <n v="0"/>
    <n v="68.400000000000006"/>
    <n v="47.4"/>
    <n v="47.9"/>
    <n v="52.1"/>
    <n v="33173"/>
    <n v="35220"/>
    <x v="0"/>
    <n v="94"/>
  </r>
  <r>
    <d v="2023-01-04T00:00:00"/>
    <s v="Villa Park"/>
    <n v="39978"/>
    <s v="Aston Villa"/>
    <n v="1"/>
    <s v="Wolverhampton Wanderers"/>
    <n v="1"/>
    <n v="55.9"/>
    <n v="44.1"/>
    <n v="13"/>
    <n v="10"/>
    <n v="4"/>
    <n v="3"/>
    <n v="3"/>
    <n v="4"/>
    <n v="6"/>
    <n v="3"/>
    <n v="87.6"/>
    <n v="83.8"/>
    <n v="2"/>
    <n v="0"/>
    <n v="45.5"/>
    <n v="58.6"/>
    <n v="40.9"/>
    <n v="59.1"/>
    <n v="36978"/>
    <n v="39000"/>
    <x v="0"/>
    <n v="94"/>
  </r>
  <r>
    <d v="2023-01-04T00:00:00"/>
    <s v="Selhurst Park"/>
    <n v="25132"/>
    <s v="Crystal Palace"/>
    <n v="0"/>
    <s v="Tottenham Hotspur"/>
    <n v="4"/>
    <n v="46.7"/>
    <n v="53.3"/>
    <n v="19"/>
    <n v="14"/>
    <n v="4"/>
    <n v="6"/>
    <n v="9"/>
    <n v="3"/>
    <n v="6"/>
    <n v="5"/>
    <n v="82"/>
    <n v="86.2"/>
    <n v="0"/>
    <n v="2"/>
    <n v="59.1"/>
    <n v="63.6"/>
    <n v="29.6"/>
    <n v="70.400000000000006"/>
    <n v="22132"/>
    <n v="23486"/>
    <x v="0"/>
    <n v="94"/>
  </r>
  <r>
    <d v="2023-01-05T00:00:00"/>
    <s v="Stamford Bridge"/>
    <n v="39998"/>
    <s v="Chelsea"/>
    <n v="0"/>
    <s v="Manchester City"/>
    <n v="1"/>
    <n v="47.7"/>
    <n v="52.3"/>
    <n v="8"/>
    <n v="12"/>
    <n v="2"/>
    <n v="3"/>
    <n v="3"/>
    <n v="6"/>
    <n v="3"/>
    <n v="3"/>
    <n v="85.2"/>
    <n v="89.5"/>
    <n v="0"/>
    <n v="3"/>
    <n v="39.299999999999997"/>
    <n v="68.400000000000006"/>
    <n v="40"/>
    <n v="60"/>
    <n v="36998"/>
    <n v="37343"/>
    <x v="4"/>
    <n v="99"/>
  </r>
  <r>
    <d v="2023-01-12T00:00:00"/>
    <s v="Craven Cottage"/>
    <n v="24460"/>
    <s v="Fulham"/>
    <n v="2"/>
    <s v="Chelsea"/>
    <n v="1"/>
    <n v="47.4"/>
    <n v="52.6"/>
    <n v="8"/>
    <n v="20"/>
    <n v="3"/>
    <n v="10"/>
    <n v="3"/>
    <n v="3"/>
    <n v="2"/>
    <n v="7"/>
    <n v="80.599999999999994"/>
    <n v="81.599999999999994"/>
    <n v="1"/>
    <n v="3"/>
    <n v="54.5"/>
    <n v="61.1"/>
    <n v="66.7"/>
    <n v="33.299999999999997"/>
    <n v="21460"/>
    <n v="25700"/>
    <x v="22"/>
    <n v="83"/>
  </r>
  <r>
    <d v="2023-01-13T00:00:00"/>
    <s v="Villa Park"/>
    <n v="42008"/>
    <s v="Aston Villa"/>
    <n v="2"/>
    <s v="Leeds United"/>
    <n v="1"/>
    <n v="53.4"/>
    <n v="46.6"/>
    <n v="11"/>
    <n v="16"/>
    <n v="5"/>
    <n v="4"/>
    <n v="4"/>
    <n v="4"/>
    <n v="2"/>
    <n v="8"/>
    <n v="72.7"/>
    <n v="69.5"/>
    <n v="1"/>
    <n v="3"/>
    <n v="46.4"/>
    <n v="51.9"/>
    <n v="59.3"/>
    <n v="40.700000000000003"/>
    <n v="39008"/>
    <n v="39000"/>
    <x v="8"/>
    <n v="100"/>
  </r>
  <r>
    <d v="2023-01-14T00:00:00"/>
    <s v="Gtech Community Stadium"/>
    <n v="17031"/>
    <s v="Brentford"/>
    <n v="2"/>
    <s v="Bournemouth"/>
    <n v="0"/>
    <n v="49.9"/>
    <n v="50.1"/>
    <n v="12"/>
    <n v="7"/>
    <n v="4"/>
    <n v="2"/>
    <n v="7"/>
    <n v="3"/>
    <n v="1"/>
    <n v="2"/>
    <n v="74.400000000000006"/>
    <n v="77.7"/>
    <n v="0"/>
    <n v="0"/>
    <n v="55"/>
    <n v="57.9"/>
    <n v="47.4"/>
    <n v="52.6"/>
    <n v="14031"/>
    <n v="15250"/>
    <x v="6"/>
    <n v="92"/>
  </r>
  <r>
    <d v="2023-01-14T00:00:00"/>
    <s v="The City Ground"/>
    <n v="29301"/>
    <s v="Nottingham Forest"/>
    <n v="2"/>
    <s v="Leicester City"/>
    <n v="0"/>
    <n v="38.799999999999997"/>
    <n v="61.2"/>
    <n v="15"/>
    <n v="6"/>
    <n v="5"/>
    <n v="1"/>
    <n v="4"/>
    <n v="3"/>
    <n v="6"/>
    <n v="2"/>
    <n v="75.400000000000006"/>
    <n v="82.6"/>
    <n v="3"/>
    <n v="2"/>
    <n v="42.9"/>
    <n v="58.3"/>
    <n v="54.2"/>
    <n v="45.8"/>
    <n v="26301"/>
    <n v="27445"/>
    <x v="9"/>
    <n v="95"/>
  </r>
  <r>
    <d v="2023-01-14T00:00:00"/>
    <s v="Molineux"/>
    <n v="31511"/>
    <s v="Wolverhampton Wanderers"/>
    <n v="1"/>
    <s v="West Ham United"/>
    <n v="0"/>
    <n v="58.5"/>
    <n v="41.5"/>
    <n v="17"/>
    <n v="16"/>
    <n v="4"/>
    <n v="4"/>
    <n v="6"/>
    <n v="5"/>
    <n v="7"/>
    <n v="7"/>
    <n v="83.9"/>
    <n v="78"/>
    <n v="0"/>
    <n v="0"/>
    <n v="60"/>
    <n v="36.4"/>
    <n v="45.7"/>
    <n v="54.3"/>
    <n v="28511"/>
    <n v="29050"/>
    <x v="3"/>
    <n v="98"/>
  </r>
  <r>
    <d v="2023-01-14T00:00:00"/>
    <s v="Amex Stadium"/>
    <n v="31645"/>
    <s v="Brighton and Hove Albion"/>
    <n v="3"/>
    <s v="Liverpool"/>
    <n v="0"/>
    <n v="60.8"/>
    <n v="39.200000000000003"/>
    <n v="16"/>
    <n v="6"/>
    <n v="9"/>
    <n v="2"/>
    <n v="3"/>
    <n v="3"/>
    <n v="4"/>
    <n v="1"/>
    <n v="88.2"/>
    <n v="83.3"/>
    <n v="2"/>
    <n v="2"/>
    <n v="56.3"/>
    <n v="63.2"/>
    <n v="58.3"/>
    <n v="41.7"/>
    <n v="28645"/>
    <n v="28876"/>
    <x v="4"/>
    <n v="99"/>
  </r>
  <r>
    <d v="2023-01-14T00:00:00"/>
    <s v="Goodison Park"/>
    <n v="39305"/>
    <s v="Everton"/>
    <n v="1"/>
    <s v="Southampton"/>
    <n v="2"/>
    <n v="52.2"/>
    <n v="47.8"/>
    <n v="12"/>
    <n v="13"/>
    <n v="4"/>
    <n v="5"/>
    <n v="5"/>
    <n v="2"/>
    <n v="3"/>
    <n v="6"/>
    <n v="73.400000000000006"/>
    <n v="70.7"/>
    <n v="1"/>
    <n v="1"/>
    <n v="60"/>
    <n v="66.7"/>
    <n v="44.7"/>
    <n v="55.3"/>
    <n v="36305"/>
    <n v="36572"/>
    <x v="4"/>
    <n v="99"/>
  </r>
  <r>
    <d v="2023-01-15T00:00:00"/>
    <s v="Tottenham Hotspur Stadium"/>
    <n v="61870"/>
    <s v="Tottenham Hotspur"/>
    <n v="0"/>
    <s v="Arsenal"/>
    <n v="2"/>
    <n v="50.6"/>
    <n v="49.4"/>
    <n v="17"/>
    <n v="14"/>
    <n v="7"/>
    <n v="5"/>
    <n v="4"/>
    <n v="5"/>
    <n v="6"/>
    <n v="4"/>
    <n v="82.6"/>
    <n v="84.2"/>
    <n v="2"/>
    <n v="2"/>
    <n v="64.7"/>
    <n v="61.5"/>
    <n v="62.9"/>
    <n v="37.1"/>
    <n v="58870"/>
    <n v="59850"/>
    <x v="3"/>
    <n v="98"/>
  </r>
  <r>
    <d v="2023-01-15T00:00:00"/>
    <s v="Stamford Bridge"/>
    <n v="40075"/>
    <s v="Chelsea"/>
    <n v="1"/>
    <s v="Crystal Palace"/>
    <n v="0"/>
    <n v="62.5"/>
    <n v="37.5"/>
    <n v="15"/>
    <n v="10"/>
    <n v="5"/>
    <n v="5"/>
    <n v="5"/>
    <n v="2"/>
    <n v="5"/>
    <n v="3"/>
    <n v="84.6"/>
    <n v="74.3"/>
    <n v="3"/>
    <n v="0"/>
    <n v="54.5"/>
    <n v="45.8"/>
    <n v="66"/>
    <n v="34"/>
    <n v="37075"/>
    <n v="37343"/>
    <x v="4"/>
    <n v="99"/>
  </r>
  <r>
    <d v="2023-01-15T00:00:00"/>
    <s v="St James' Park, Newcastle"/>
    <n v="52247"/>
    <s v="Newcastle United"/>
    <n v="1"/>
    <s v="Fulham"/>
    <n v="0"/>
    <n v="62.3"/>
    <n v="37.700000000000003"/>
    <n v="20"/>
    <n v="5"/>
    <n v="5"/>
    <n v="0"/>
    <n v="7"/>
    <n v="4"/>
    <n v="8"/>
    <n v="1"/>
    <n v="82.2"/>
    <n v="70"/>
    <n v="2"/>
    <n v="0"/>
    <n v="72.2"/>
    <n v="58.8"/>
    <n v="46.2"/>
    <n v="53.8"/>
    <n v="49247"/>
    <n v="49350"/>
    <x v="4"/>
    <n v="99"/>
  </r>
  <r>
    <d v="2023-01-18T00:00:00"/>
    <s v="Selhurst Park"/>
    <n v="23343"/>
    <s v="Crystal Palace"/>
    <n v="1"/>
    <s v="Manchester United"/>
    <n v="1"/>
    <n v="39.4"/>
    <n v="60.6"/>
    <n v="10"/>
    <n v="15"/>
    <n v="5"/>
    <n v="4"/>
    <n v="3"/>
    <n v="8"/>
    <n v="2"/>
    <n v="3"/>
    <n v="73.7"/>
    <n v="81.3"/>
    <n v="0"/>
    <n v="2"/>
    <n v="45.8"/>
    <n v="56.3"/>
    <n v="59.1"/>
    <n v="40.9"/>
    <n v="20343"/>
    <n v="23486"/>
    <x v="10"/>
    <n v="86"/>
  </r>
  <r>
    <d v="2023-01-19T00:00:00"/>
    <s v="Etihad Stadium"/>
    <n v="53088"/>
    <s v="Manchester City"/>
    <n v="4"/>
    <s v="Tottenham Hotspur"/>
    <n v="2"/>
    <n v="57.9"/>
    <n v="42.1"/>
    <n v="16"/>
    <n v="9"/>
    <n v="6"/>
    <n v="3"/>
    <n v="5"/>
    <n v="4"/>
    <n v="5"/>
    <n v="2"/>
    <n v="87.7"/>
    <n v="83"/>
    <n v="3"/>
    <n v="1"/>
    <n v="73.3"/>
    <n v="56.3"/>
    <n v="50"/>
    <n v="50"/>
    <n v="50088"/>
    <n v="50400"/>
    <x v="4"/>
    <n v="99"/>
  </r>
  <r>
    <d v="2023-01-21T00:00:00"/>
    <s v="Vitality Stadium"/>
    <n v="10248"/>
    <s v="Bournemouth"/>
    <n v="1"/>
    <s v="Nottingham Forest"/>
    <n v="1"/>
    <n v="42.4"/>
    <n v="57.6"/>
    <n v="16"/>
    <n v="20"/>
    <n v="4"/>
    <n v="5"/>
    <n v="8"/>
    <n v="11"/>
    <n v="4"/>
    <n v="4"/>
    <n v="72.400000000000006"/>
    <n v="80"/>
    <n v="2"/>
    <n v="1"/>
    <n v="54.5"/>
    <n v="47.6"/>
    <n v="52.6"/>
    <n v="47.4"/>
    <n v="7248"/>
    <n v="9879"/>
    <x v="11"/>
    <n v="73"/>
  </r>
  <r>
    <d v="2023-01-21T00:00:00"/>
    <s v="Anfield"/>
    <n v="53126"/>
    <s v="Liverpool"/>
    <n v="0"/>
    <s v="Chelsea"/>
    <n v="0"/>
    <n v="47.5"/>
    <n v="52.5"/>
    <n v="15"/>
    <n v="11"/>
    <n v="3"/>
    <n v="2"/>
    <n v="6"/>
    <n v="6"/>
    <n v="6"/>
    <n v="3"/>
    <n v="78.599999999999994"/>
    <n v="80.900000000000006"/>
    <n v="1"/>
    <n v="4"/>
    <n v="72.2"/>
    <n v="38.1"/>
    <n v="40"/>
    <n v="60"/>
    <n v="50126"/>
    <n v="58000"/>
    <x v="10"/>
    <n v="86"/>
  </r>
  <r>
    <d v="2023-01-21T00:00:00"/>
    <s v="London Stadium"/>
    <n v="62470"/>
    <s v="West Ham United"/>
    <n v="2"/>
    <s v="Everton"/>
    <n v="0"/>
    <n v="32.200000000000003"/>
    <n v="67.8"/>
    <n v="11"/>
    <n v="5"/>
    <n v="4"/>
    <n v="2"/>
    <n v="3"/>
    <n v="1"/>
    <n v="4"/>
    <n v="2"/>
    <n v="79.5"/>
    <n v="87.7"/>
    <n v="2"/>
    <n v="0"/>
    <n v="52.9"/>
    <n v="52.6"/>
    <n v="48.6"/>
    <n v="51.4"/>
    <n v="59470"/>
    <n v="65013"/>
    <x v="5"/>
    <n v="91"/>
  </r>
  <r>
    <d v="2023-01-21T00:00:00"/>
    <s v="St. Mary's Stadium"/>
    <n v="30158"/>
    <s v="Southampton"/>
    <n v="0"/>
    <s v="Aston Villa"/>
    <n v="1"/>
    <n v="36.5"/>
    <n v="63.5"/>
    <n v="8"/>
    <n v="16"/>
    <n v="5"/>
    <n v="5"/>
    <n v="2"/>
    <n v="8"/>
    <n v="1"/>
    <n v="3"/>
    <n v="70.8"/>
    <n v="80.599999999999994"/>
    <n v="1"/>
    <n v="1"/>
    <n v="44"/>
    <n v="47.4"/>
    <n v="62.2"/>
    <n v="37.799999999999997"/>
    <n v="27158"/>
    <n v="29384"/>
    <x v="6"/>
    <n v="92"/>
  </r>
  <r>
    <d v="2023-01-21T00:00:00"/>
    <s v="Selhurst Park"/>
    <n v="25350"/>
    <s v="Crystal Palace"/>
    <n v="0"/>
    <s v="Newcastle United"/>
    <n v="0"/>
    <n v="39.200000000000003"/>
    <n v="60.8"/>
    <n v="6"/>
    <n v="16"/>
    <n v="1"/>
    <n v="7"/>
    <n v="1"/>
    <n v="7"/>
    <n v="4"/>
    <n v="2"/>
    <n v="67.099999999999994"/>
    <n v="79.099999999999994"/>
    <n v="0"/>
    <n v="2"/>
    <n v="58.6"/>
    <n v="47.4"/>
    <n v="47.4"/>
    <n v="52.6"/>
    <n v="22350"/>
    <n v="23486"/>
    <x v="9"/>
    <n v="95"/>
  </r>
  <r>
    <d v="2023-01-21T00:00:00"/>
    <s v="The King Power Stadium"/>
    <n v="32056"/>
    <s v="Leicester City"/>
    <n v="2"/>
    <s v="Brighton and Hove Albion"/>
    <n v="2"/>
    <n v="36.6"/>
    <n v="63.4"/>
    <n v="9"/>
    <n v="13"/>
    <n v="2"/>
    <n v="4"/>
    <n v="2"/>
    <n v="6"/>
    <n v="5"/>
    <n v="3"/>
    <n v="79.400000000000006"/>
    <n v="88.4"/>
    <n v="0"/>
    <n v="3"/>
    <n v="68.8"/>
    <n v="54.5"/>
    <n v="60"/>
    <n v="40"/>
    <n v="29056"/>
    <n v="29261"/>
    <x v="4"/>
    <n v="99"/>
  </r>
  <r>
    <d v="2023-01-22T00:00:00"/>
    <s v="Elland Road"/>
    <n v="36260"/>
    <s v="Leeds United"/>
    <n v="0"/>
    <s v="Brentford"/>
    <n v="0"/>
    <n v="58.5"/>
    <n v="41.5"/>
    <n v="9"/>
    <n v="6"/>
    <n v="5"/>
    <n v="0"/>
    <n v="1"/>
    <n v="5"/>
    <n v="3"/>
    <n v="1"/>
    <n v="73.7"/>
    <n v="64.5"/>
    <n v="0"/>
    <n v="0"/>
    <n v="47.1"/>
    <n v="42.9"/>
    <n v="50"/>
    <n v="50"/>
    <n v="33260"/>
    <n v="35220"/>
    <x v="0"/>
    <n v="94"/>
  </r>
  <r>
    <d v="2023-01-22T00:00:00"/>
    <s v="Etihad Stadium"/>
    <n v="53282"/>
    <s v="Manchester City"/>
    <n v="3"/>
    <s v="Wolverhampton Wanderers"/>
    <n v="0"/>
    <n v="55.3"/>
    <n v="44.7"/>
    <n v="13"/>
    <n v="10"/>
    <n v="7"/>
    <n v="1"/>
    <n v="5"/>
    <n v="5"/>
    <n v="1"/>
    <n v="4"/>
    <n v="89.6"/>
    <n v="85.6"/>
    <n v="4"/>
    <n v="0"/>
    <n v="62.5"/>
    <n v="53.3"/>
    <n v="60.9"/>
    <n v="39.1"/>
    <n v="50282"/>
    <n v="50400"/>
    <x v="4"/>
    <n v="99"/>
  </r>
  <r>
    <d v="2023-01-22T00:00:00"/>
    <s v="Emirates Stadium"/>
    <n v="60325"/>
    <s v="Arsenal"/>
    <n v="3"/>
    <s v="Manchester United"/>
    <n v="2"/>
    <n v="57.2"/>
    <n v="42.8"/>
    <n v="25"/>
    <n v="6"/>
    <n v="5"/>
    <n v="4"/>
    <n v="7"/>
    <n v="0"/>
    <n v="13"/>
    <n v="2"/>
    <n v="81.3"/>
    <n v="77.5"/>
    <n v="2"/>
    <n v="0"/>
    <n v="66.7"/>
    <n v="52.4"/>
    <n v="40.700000000000003"/>
    <n v="59.3"/>
    <n v="57325"/>
    <n v="57704"/>
    <x v="4"/>
    <n v="99"/>
  </r>
  <r>
    <d v="2023-01-23T00:00:00"/>
    <s v="Craven Cottage"/>
    <n v="24190"/>
    <s v="Fulham"/>
    <n v="0"/>
    <s v="Tottenham Hotspur"/>
    <n v="1"/>
    <n v="52.9"/>
    <n v="47.1"/>
    <n v="10"/>
    <n v="10"/>
    <n v="5"/>
    <n v="3"/>
    <n v="4"/>
    <n v="4"/>
    <n v="1"/>
    <n v="3"/>
    <n v="82.1"/>
    <n v="78.3"/>
    <n v="1"/>
    <n v="1"/>
    <n v="52.6"/>
    <n v="52.2"/>
    <n v="30"/>
    <n v="70"/>
    <n v="21190"/>
    <n v="25700"/>
    <x v="21"/>
    <n v="82"/>
  </r>
  <r>
    <d v="2023-02-03T00:00:00"/>
    <s v="Stamford Bridge"/>
    <n v="40041"/>
    <s v="Chelsea"/>
    <n v="0"/>
    <s v="Fulham"/>
    <n v="0"/>
    <n v="66.900000000000006"/>
    <n v="33.1"/>
    <n v="12"/>
    <n v="10"/>
    <n v="3"/>
    <n v="4"/>
    <n v="7"/>
    <n v="3"/>
    <n v="2"/>
    <n v="3"/>
    <n v="85.8"/>
    <n v="72.2"/>
    <n v="1"/>
    <n v="0"/>
    <n v="54.2"/>
    <n v="73.7"/>
    <n v="52"/>
    <n v="48"/>
    <n v="37041"/>
    <n v="37343"/>
    <x v="4"/>
    <n v="99"/>
  </r>
  <r>
    <d v="2023-02-04T00:00:00"/>
    <s v="Gtech Community Stadium"/>
    <n v="17051"/>
    <s v="Brentford"/>
    <n v="3"/>
    <s v="Southampton"/>
    <n v="0"/>
    <n v="48.3"/>
    <n v="51.7"/>
    <n v="14"/>
    <n v="14"/>
    <n v="4"/>
    <n v="6"/>
    <n v="6"/>
    <n v="4"/>
    <n v="4"/>
    <n v="4"/>
    <n v="69.2"/>
    <n v="75.599999999999994"/>
    <n v="3"/>
    <n v="1"/>
    <n v="53.8"/>
    <n v="66.7"/>
    <n v="44.4"/>
    <n v="55.6"/>
    <n v="14051"/>
    <n v="15250"/>
    <x v="6"/>
    <n v="92"/>
  </r>
  <r>
    <d v="2023-02-04T00:00:00"/>
    <s v="Old Trafford"/>
    <n v="73420"/>
    <s v="Manchester United"/>
    <n v="2"/>
    <s v="Crystal Palace"/>
    <n v="1"/>
    <n v="53.1"/>
    <n v="46.9"/>
    <n v="14"/>
    <n v="10"/>
    <n v="5"/>
    <n v="3"/>
    <n v="5"/>
    <n v="5"/>
    <n v="4"/>
    <n v="2"/>
    <n v="85.4"/>
    <n v="80.3"/>
    <n v="0"/>
    <n v="2"/>
    <n v="57.1"/>
    <n v="56.3"/>
    <n v="57.9"/>
    <n v="42.1"/>
    <n v="70420"/>
    <n v="71310"/>
    <x v="3"/>
    <n v="98"/>
  </r>
  <r>
    <d v="2023-02-04T00:00:00"/>
    <s v="Molineux"/>
    <n v="31664"/>
    <s v="Wolverhampton Wanderers"/>
    <n v="3"/>
    <s v="Liverpool"/>
    <n v="0"/>
    <n v="41.8"/>
    <n v="58.2"/>
    <n v="12"/>
    <n v="22"/>
    <n v="6"/>
    <n v="4"/>
    <n v="5"/>
    <n v="8"/>
    <n v="1"/>
    <n v="10"/>
    <n v="74.900000000000006"/>
    <n v="85.5"/>
    <n v="3"/>
    <n v="1"/>
    <n v="62.5"/>
    <n v="70"/>
    <n v="46.7"/>
    <n v="53.3"/>
    <n v="28664"/>
    <n v="29050"/>
    <x v="3"/>
    <n v="98"/>
  </r>
  <r>
    <d v="2023-02-04T00:00:00"/>
    <s v="Goodison Park"/>
    <n v="39314"/>
    <s v="Everton"/>
    <n v="1"/>
    <s v="Arsenal"/>
    <n v="0"/>
    <n v="29.5"/>
    <n v="70.5"/>
    <n v="12"/>
    <n v="15"/>
    <n v="4"/>
    <n v="3"/>
    <n v="5"/>
    <n v="7"/>
    <n v="3"/>
    <n v="5"/>
    <n v="71.400000000000006"/>
    <n v="86.5"/>
    <n v="4"/>
    <n v="0"/>
    <n v="61.1"/>
    <n v="78.599999999999994"/>
    <n v="58.6"/>
    <n v="41.4"/>
    <n v="36314"/>
    <n v="36572"/>
    <x v="4"/>
    <n v="99"/>
  </r>
  <r>
    <d v="2023-02-04T00:00:00"/>
    <s v="Amex Stadium"/>
    <n v="31600"/>
    <s v="Brighton and Hove Albion"/>
    <n v="1"/>
    <s v="Bournemouth"/>
    <n v="0"/>
    <n v="71.8"/>
    <n v="28.2"/>
    <n v="20"/>
    <n v="12"/>
    <n v="6"/>
    <n v="2"/>
    <n v="7"/>
    <n v="7"/>
    <n v="7"/>
    <n v="3"/>
    <n v="89.3"/>
    <n v="72.3"/>
    <n v="2"/>
    <n v="0"/>
    <n v="52.9"/>
    <n v="60"/>
    <n v="29.2"/>
    <n v="70.8"/>
    <n v="28600"/>
    <n v="28876"/>
    <x v="4"/>
    <n v="99"/>
  </r>
  <r>
    <d v="2023-02-04T00:00:00"/>
    <s v="St James' Park, Newcastle"/>
    <n v="52256"/>
    <s v="Newcastle United"/>
    <n v="1"/>
    <s v="West Ham United"/>
    <n v="1"/>
    <n v="62.7"/>
    <n v="37.299999999999997"/>
    <n v="8"/>
    <n v="10"/>
    <n v="2"/>
    <n v="1"/>
    <n v="3"/>
    <n v="5"/>
    <n v="3"/>
    <n v="4"/>
    <n v="80.599999999999994"/>
    <n v="69"/>
    <n v="3"/>
    <n v="1"/>
    <n v="61.5"/>
    <n v="57.9"/>
    <n v="57.1"/>
    <n v="42.9"/>
    <n v="49256"/>
    <n v="49350"/>
    <x v="4"/>
    <n v="99"/>
  </r>
  <r>
    <d v="2023-02-04T00:00:00"/>
    <s v="Villa Park"/>
    <n v="42055"/>
    <s v="Aston Villa"/>
    <n v="2"/>
    <s v="Leicester City"/>
    <n v="4"/>
    <n v="63.2"/>
    <n v="36.799999999999997"/>
    <n v="19"/>
    <n v="9"/>
    <n v="4"/>
    <n v="5"/>
    <n v="6"/>
    <n v="4"/>
    <n v="9"/>
    <n v="0"/>
    <n v="86.7"/>
    <n v="74.8"/>
    <n v="0"/>
    <n v="4"/>
    <n v="66.7"/>
    <n v="69.599999999999994"/>
    <n v="54.5"/>
    <n v="45.5"/>
    <n v="39055"/>
    <n v="39000"/>
    <x v="8"/>
    <n v="100"/>
  </r>
  <r>
    <d v="2023-02-05T00:00:00"/>
    <s v="The City Ground"/>
    <n v="29363"/>
    <s v="Nottingham Forest"/>
    <n v="1"/>
    <s v="Leeds United"/>
    <n v="0"/>
    <n v="30.1"/>
    <n v="69.900000000000006"/>
    <n v="6"/>
    <n v="10"/>
    <n v="2"/>
    <n v="4"/>
    <n v="2"/>
    <n v="3"/>
    <n v="2"/>
    <n v="3"/>
    <n v="54.5"/>
    <n v="74.900000000000006"/>
    <n v="0"/>
    <n v="1"/>
    <n v="65.400000000000006"/>
    <n v="73.7"/>
    <n v="48.3"/>
    <n v="51.7"/>
    <n v="26363"/>
    <n v="27445"/>
    <x v="7"/>
    <n v="96"/>
  </r>
  <r>
    <d v="2023-02-05T00:00:00"/>
    <s v="Tottenham Hotspur Stadium"/>
    <n v="61747"/>
    <s v="Tottenham Hotspur"/>
    <n v="1"/>
    <s v="Manchester City"/>
    <n v="0"/>
    <n v="35.200000000000003"/>
    <n v="64.8"/>
    <n v="12"/>
    <n v="15"/>
    <n v="3"/>
    <n v="5"/>
    <n v="5"/>
    <n v="5"/>
    <n v="4"/>
    <n v="5"/>
    <n v="74.599999999999994"/>
    <n v="87.6"/>
    <n v="2"/>
    <n v="0"/>
    <n v="57.1"/>
    <n v="47.4"/>
    <n v="36"/>
    <n v="64"/>
    <n v="58747"/>
    <n v="59850"/>
    <x v="3"/>
    <n v="98"/>
  </r>
  <r>
    <d v="2023-02-08T00:00:00"/>
    <s v="Old Trafford"/>
    <n v="73456"/>
    <s v="Manchester United"/>
    <n v="2"/>
    <s v="Leeds United"/>
    <n v="2"/>
    <n v="65.900000000000006"/>
    <n v="34.1"/>
    <n v="24"/>
    <n v="8"/>
    <n v="7"/>
    <n v="2"/>
    <n v="9"/>
    <n v="4"/>
    <n v="8"/>
    <n v="2"/>
    <n v="81"/>
    <n v="64.400000000000006"/>
    <n v="1"/>
    <n v="1"/>
    <n v="57.9"/>
    <n v="66.7"/>
    <n v="50"/>
    <n v="50"/>
    <n v="70456"/>
    <n v="71310"/>
    <x v="3"/>
    <n v="98"/>
  </r>
  <r>
    <d v="2023-02-11T00:00:00"/>
    <s v="Vitality Stadium"/>
    <n v="10419"/>
    <s v="Bournemouth"/>
    <n v="1"/>
    <s v="Newcastle United"/>
    <n v="1"/>
    <n v="33.200000000000003"/>
    <n v="66.8"/>
    <n v="11"/>
    <n v="15"/>
    <n v="5"/>
    <n v="7"/>
    <n v="5"/>
    <n v="5"/>
    <n v="1"/>
    <n v="3"/>
    <n v="66.7"/>
    <n v="81.8"/>
    <n v="2"/>
    <n v="0"/>
    <n v="55"/>
    <n v="60"/>
    <n v="51.5"/>
    <n v="48.5"/>
    <n v="7419"/>
    <n v="9879"/>
    <x v="12"/>
    <n v="75"/>
  </r>
  <r>
    <d v="2023-02-11T00:00:00"/>
    <s v="Craven Cottage"/>
    <n v="24244"/>
    <s v="Fulham"/>
    <n v="2"/>
    <s v="Nottingham Forest"/>
    <n v="0"/>
    <n v="50"/>
    <n v="50"/>
    <n v="16"/>
    <n v="10"/>
    <n v="3"/>
    <n v="1"/>
    <n v="11"/>
    <n v="7"/>
    <n v="2"/>
    <n v="2"/>
    <n v="79"/>
    <n v="77"/>
    <n v="2"/>
    <n v="1"/>
    <n v="50"/>
    <n v="80"/>
    <n v="52.9"/>
    <n v="47.1"/>
    <n v="21244"/>
    <n v="25700"/>
    <x v="21"/>
    <n v="82"/>
  </r>
  <r>
    <d v="2023-02-11T00:00:00"/>
    <s v="London Stadium"/>
    <n v="62471"/>
    <s v="West Ham United"/>
    <n v="1"/>
    <s v="Chelsea"/>
    <n v="1"/>
    <n v="28.2"/>
    <n v="71.8"/>
    <n v="10"/>
    <n v="12"/>
    <n v="2"/>
    <n v="4"/>
    <n v="5"/>
    <n v="4"/>
    <n v="3"/>
    <n v="4"/>
    <n v="75.7"/>
    <n v="90.5"/>
    <n v="1"/>
    <n v="1"/>
    <n v="60.9"/>
    <n v="81"/>
    <n v="45.5"/>
    <n v="54.5"/>
    <n v="59471"/>
    <n v="65013"/>
    <x v="5"/>
    <n v="91"/>
  </r>
  <r>
    <d v="2023-02-11T00:00:00"/>
    <s v="St. Mary's Stadium"/>
    <n v="29751"/>
    <s v="Southampton"/>
    <n v="1"/>
    <s v="Wolverhampton Wanderers"/>
    <n v="2"/>
    <n v="40.9"/>
    <n v="59.1"/>
    <n v="17"/>
    <n v="11"/>
    <n v="2"/>
    <n v="2"/>
    <n v="10"/>
    <n v="2"/>
    <n v="5"/>
    <n v="7"/>
    <n v="70.5"/>
    <n v="80.5"/>
    <n v="0"/>
    <n v="0"/>
    <n v="68.8"/>
    <n v="57.1"/>
    <n v="67.400000000000006"/>
    <n v="32.6"/>
    <n v="26751"/>
    <n v="29384"/>
    <x v="5"/>
    <n v="91"/>
  </r>
  <r>
    <d v="2023-02-11T00:00:00"/>
    <s v="Selhurst Park"/>
    <n v="24827"/>
    <s v="Crystal Palace"/>
    <n v="1"/>
    <s v="Brighton and Hove Albion"/>
    <n v="1"/>
    <n v="25.8"/>
    <n v="74.2"/>
    <n v="6"/>
    <n v="17"/>
    <n v="1"/>
    <n v="7"/>
    <n v="2"/>
    <n v="5"/>
    <n v="3"/>
    <n v="5"/>
    <n v="70.400000000000006"/>
    <n v="89.9"/>
    <n v="0"/>
    <n v="5"/>
    <n v="73.7"/>
    <n v="56.5"/>
    <n v="38.5"/>
    <n v="61.5"/>
    <n v="21827"/>
    <n v="23486"/>
    <x v="6"/>
    <n v="92"/>
  </r>
  <r>
    <d v="2023-02-11T00:00:00"/>
    <s v="Emirates Stadium"/>
    <n v="60254"/>
    <s v="Arsenal"/>
    <n v="1"/>
    <s v="Brentford"/>
    <n v="1"/>
    <n v="69.2"/>
    <n v="30.8"/>
    <n v="23"/>
    <n v="9"/>
    <n v="7"/>
    <n v="2"/>
    <n v="10"/>
    <n v="4"/>
    <n v="6"/>
    <n v="3"/>
    <n v="86.4"/>
    <n v="66.3"/>
    <n v="1"/>
    <n v="3"/>
    <n v="60"/>
    <n v="66.7"/>
    <n v="28.9"/>
    <n v="71.099999999999994"/>
    <n v="57254"/>
    <n v="57704"/>
    <x v="4"/>
    <n v="99"/>
  </r>
  <r>
    <d v="2023-02-11T00:00:00"/>
    <s v="The King Power Stadium"/>
    <n v="32184"/>
    <s v="Leicester City"/>
    <n v="4"/>
    <s v="Tottenham Hotspur"/>
    <n v="1"/>
    <n v="48.9"/>
    <n v="51.1"/>
    <n v="15"/>
    <n v="11"/>
    <n v="7"/>
    <n v="4"/>
    <n v="6"/>
    <n v="6"/>
    <n v="2"/>
    <n v="1"/>
    <n v="78.400000000000006"/>
    <n v="82.7"/>
    <n v="2"/>
    <n v="0"/>
    <n v="63"/>
    <n v="60"/>
    <n v="27.8"/>
    <n v="72.2"/>
    <n v="29184"/>
    <n v="29261"/>
    <x v="4"/>
    <n v="99"/>
  </r>
  <r>
    <d v="2023-02-12T00:00:00"/>
    <s v="Elland Road"/>
    <n v="36919"/>
    <s v="Leeds United"/>
    <n v="0"/>
    <s v="Manchester United"/>
    <n v="2"/>
    <n v="33"/>
    <n v="67"/>
    <n v="16"/>
    <n v="11"/>
    <n v="6"/>
    <n v="5"/>
    <n v="4"/>
    <n v="4"/>
    <n v="6"/>
    <n v="2"/>
    <n v="67.7"/>
    <n v="81.599999999999994"/>
    <n v="1"/>
    <n v="2"/>
    <n v="56.5"/>
    <n v="70"/>
    <n v="57.1"/>
    <n v="42.9"/>
    <n v="33919"/>
    <n v="35220"/>
    <x v="7"/>
    <n v="96"/>
  </r>
  <r>
    <d v="2023-02-12T00:00:00"/>
    <s v="Etihad Stadium"/>
    <n v="53392"/>
    <s v="Manchester City"/>
    <n v="3"/>
    <s v="Aston Villa"/>
    <n v="1"/>
    <n v="67.2"/>
    <n v="32.799999999999997"/>
    <n v="17"/>
    <n v="6"/>
    <n v="9"/>
    <n v="2"/>
    <n v="3"/>
    <n v="2"/>
    <n v="5"/>
    <n v="2"/>
    <n v="90"/>
    <n v="81.3"/>
    <n v="4"/>
    <n v="0"/>
    <n v="42.9"/>
    <n v="42.9"/>
    <n v="66.7"/>
    <n v="33.299999999999997"/>
    <n v="50392"/>
    <n v="50400"/>
    <x v="4"/>
    <n v="99"/>
  </r>
  <r>
    <d v="2023-02-13T00:00:00"/>
    <s v="Anfield"/>
    <n v="53027"/>
    <s v="Liverpool"/>
    <n v="2"/>
    <s v="Everton"/>
    <n v="0"/>
    <n v="59.1"/>
    <n v="40.9"/>
    <n v="15"/>
    <n v="6"/>
    <n v="6"/>
    <n v="1"/>
    <n v="4"/>
    <n v="4"/>
    <n v="5"/>
    <n v="1"/>
    <n v="86.3"/>
    <n v="78.7"/>
    <n v="2"/>
    <n v="1"/>
    <n v="71.400000000000006"/>
    <n v="44.4"/>
    <n v="57.1"/>
    <n v="42.9"/>
    <n v="50027"/>
    <n v="58000"/>
    <x v="10"/>
    <n v="86"/>
  </r>
  <r>
    <d v="2023-02-15T00:00:00"/>
    <s v="Emirates Stadium"/>
    <n v="60276"/>
    <s v="Arsenal"/>
    <n v="1"/>
    <s v="Manchester City"/>
    <n v="3"/>
    <n v="63.5"/>
    <n v="36.5"/>
    <n v="10"/>
    <n v="9"/>
    <n v="1"/>
    <n v="6"/>
    <n v="4"/>
    <n v="1"/>
    <n v="5"/>
    <n v="2"/>
    <n v="83"/>
    <n v="72.3"/>
    <n v="2"/>
    <n v="4"/>
    <n v="38.5"/>
    <n v="70.599999999999994"/>
    <n v="44"/>
    <n v="56"/>
    <n v="57276"/>
    <n v="57704"/>
    <x v="4"/>
    <n v="99"/>
  </r>
  <r>
    <d v="2023-02-18T00:00:00"/>
    <s v="Gtech Community Stadium"/>
    <n v="17122"/>
    <s v="Brentford"/>
    <n v="1"/>
    <s v="Crystal Palace"/>
    <n v="1"/>
    <n v="58.7"/>
    <n v="41.3"/>
    <n v="12"/>
    <n v="10"/>
    <n v="5"/>
    <n v="4"/>
    <n v="6"/>
    <n v="3"/>
    <n v="1"/>
    <n v="3"/>
    <n v="82.4"/>
    <n v="77.8"/>
    <n v="1"/>
    <n v="1"/>
    <n v="50"/>
    <n v="60"/>
    <n v="60"/>
    <n v="40"/>
    <n v="14122"/>
    <n v="15250"/>
    <x v="6"/>
    <n v="92"/>
  </r>
  <r>
    <d v="2023-02-18T00:00:00"/>
    <s v="The City Ground"/>
    <n v="29365"/>
    <s v="Nottingham Forest"/>
    <n v="1"/>
    <s v="Manchester City"/>
    <n v="1"/>
    <n v="27"/>
    <n v="73"/>
    <n v="4"/>
    <n v="23"/>
    <n v="1"/>
    <n v="6"/>
    <n v="2"/>
    <n v="11"/>
    <n v="1"/>
    <n v="6"/>
    <n v="65.099999999999994"/>
    <n v="88"/>
    <n v="1"/>
    <n v="2"/>
    <n v="61.5"/>
    <n v="70"/>
    <n v="56.5"/>
    <n v="43.5"/>
    <n v="26365"/>
    <n v="27445"/>
    <x v="7"/>
    <n v="96"/>
  </r>
  <r>
    <d v="2023-02-18T00:00:00"/>
    <s v="Molineux"/>
    <n v="31222"/>
    <s v="Wolverhampton Wanderers"/>
    <n v="0"/>
    <s v="Bournemouth"/>
    <n v="1"/>
    <n v="68.599999999999994"/>
    <n v="31.4"/>
    <n v="15"/>
    <n v="5"/>
    <n v="4"/>
    <n v="1"/>
    <n v="5"/>
    <n v="1"/>
    <n v="6"/>
    <n v="3"/>
    <n v="84.4"/>
    <n v="67.7"/>
    <n v="0"/>
    <n v="1"/>
    <n v="68.8"/>
    <n v="44.4"/>
    <n v="44.2"/>
    <n v="55.8"/>
    <n v="28222"/>
    <n v="29050"/>
    <x v="14"/>
    <n v="97"/>
  </r>
  <r>
    <d v="2023-02-18T00:00:00"/>
    <s v="Amex Stadium"/>
    <n v="31619"/>
    <s v="Brighton and Hove Albion"/>
    <n v="0"/>
    <s v="Fulham"/>
    <n v="1"/>
    <n v="65.3"/>
    <n v="34.700000000000003"/>
    <n v="21"/>
    <n v="5"/>
    <n v="7"/>
    <n v="2"/>
    <n v="10"/>
    <n v="0"/>
    <n v="4"/>
    <n v="3"/>
    <n v="87.7"/>
    <n v="73.099999999999994"/>
    <n v="5"/>
    <n v="0"/>
    <n v="40"/>
    <n v="38.5"/>
    <n v="59.3"/>
    <n v="40.700000000000003"/>
    <n v="28619"/>
    <n v="28876"/>
    <x v="4"/>
    <n v="99"/>
  </r>
  <r>
    <d v="2023-02-18T00:00:00"/>
    <s v="Stamford Bridge"/>
    <n v="40152"/>
    <s v="Chelsea"/>
    <n v="0"/>
    <s v="Southampton"/>
    <n v="1"/>
    <n v="61.3"/>
    <n v="38.700000000000003"/>
    <n v="17"/>
    <n v="8"/>
    <n v="5"/>
    <n v="5"/>
    <n v="5"/>
    <n v="3"/>
    <n v="7"/>
    <n v="0"/>
    <n v="85.9"/>
    <n v="75.3"/>
    <n v="2"/>
    <n v="0"/>
    <n v="76.5"/>
    <n v="71"/>
    <n v="52"/>
    <n v="48"/>
    <n v="37152"/>
    <n v="37343"/>
    <x v="4"/>
    <n v="99"/>
  </r>
  <r>
    <d v="2023-02-18T00:00:00"/>
    <s v="Goodison Park"/>
    <n v="39232"/>
    <s v="Everton"/>
    <n v="1"/>
    <s v="Leeds United"/>
    <n v="0"/>
    <n v="50"/>
    <n v="50"/>
    <n v="15"/>
    <n v="8"/>
    <n v="6"/>
    <n v="0"/>
    <n v="7"/>
    <n v="4"/>
    <n v="2"/>
    <n v="4"/>
    <n v="73.400000000000006"/>
    <n v="69"/>
    <n v="2"/>
    <n v="1"/>
    <n v="56.5"/>
    <n v="58.3"/>
    <n v="47.4"/>
    <n v="52.6"/>
    <n v="36232"/>
    <n v="36572"/>
    <x v="4"/>
    <n v="99"/>
  </r>
  <r>
    <d v="2023-02-18T00:00:00"/>
    <s v="Villa Park"/>
    <n v="42066"/>
    <s v="Aston Villa"/>
    <n v="2"/>
    <s v="Arsenal"/>
    <n v="4"/>
    <n v="33.4"/>
    <n v="66.599999999999994"/>
    <n v="7"/>
    <n v="20"/>
    <n v="5"/>
    <n v="5"/>
    <n v="1"/>
    <n v="8"/>
    <n v="1"/>
    <n v="7"/>
    <n v="76.8"/>
    <n v="85.6"/>
    <n v="0"/>
    <n v="5"/>
    <n v="72"/>
    <n v="55.6"/>
    <n v="48"/>
    <n v="52"/>
    <n v="39066"/>
    <n v="39000"/>
    <x v="8"/>
    <n v="100"/>
  </r>
  <r>
    <d v="2023-02-18T00:00:00"/>
    <s v="St James' Park, Newcastle"/>
    <n v="52758"/>
    <s v="Newcastle United"/>
    <n v="0"/>
    <s v="Liverpool"/>
    <n v="2"/>
    <n v="37.4"/>
    <n v="62.6"/>
    <n v="14"/>
    <n v="13"/>
    <n v="4"/>
    <n v="7"/>
    <n v="7"/>
    <n v="4"/>
    <n v="3"/>
    <n v="2"/>
    <n v="82"/>
    <n v="88.1"/>
    <n v="3"/>
    <n v="5"/>
    <n v="90"/>
    <n v="50"/>
    <n v="68.8"/>
    <n v="31.3"/>
    <n v="49758"/>
    <n v="49350"/>
    <x v="8"/>
    <n v="100"/>
  </r>
  <r>
    <d v="2023-02-19T00:00:00"/>
    <s v="Tottenham Hotspur Stadium"/>
    <n v="61476"/>
    <s v="Tottenham Hotspur"/>
    <n v="2"/>
    <s v="West Ham United"/>
    <n v="0"/>
    <n v="57"/>
    <n v="43"/>
    <n v="16"/>
    <n v="6"/>
    <n v="6"/>
    <n v="1"/>
    <n v="4"/>
    <n v="4"/>
    <n v="6"/>
    <n v="1"/>
    <n v="84.6"/>
    <n v="74.900000000000006"/>
    <n v="2"/>
    <n v="0"/>
    <n v="68.400000000000006"/>
    <n v="61.1"/>
    <n v="48.7"/>
    <n v="51.3"/>
    <n v="58476"/>
    <n v="59850"/>
    <x v="14"/>
    <n v="97"/>
  </r>
  <r>
    <d v="2023-02-19T00:00:00"/>
    <s v="Old Trafford"/>
    <n v="73578"/>
    <s v="Manchester United"/>
    <n v="3"/>
    <s v="Leicester City"/>
    <n v="0"/>
    <n v="56.9"/>
    <n v="43.1"/>
    <n v="26"/>
    <n v="19"/>
    <n v="8"/>
    <n v="3"/>
    <n v="9"/>
    <n v="9"/>
    <n v="9"/>
    <n v="7"/>
    <n v="84.6"/>
    <n v="81.099999999999994"/>
    <n v="6"/>
    <n v="2"/>
    <n v="69.599999999999994"/>
    <n v="53.8"/>
    <n v="69.599999999999994"/>
    <n v="30.4"/>
    <n v="70578"/>
    <n v="71310"/>
    <x v="3"/>
    <n v="98"/>
  </r>
  <r>
    <d v="2023-02-24T00:00:00"/>
    <s v="Craven Cottage"/>
    <n v="24399"/>
    <s v="Fulham"/>
    <n v="1"/>
    <s v="Wolverhampton Wanderers"/>
    <n v="1"/>
    <n v="50.5"/>
    <n v="49.5"/>
    <n v="10"/>
    <n v="8"/>
    <n v="5"/>
    <n v="2"/>
    <n v="2"/>
    <n v="5"/>
    <n v="3"/>
    <n v="1"/>
    <n v="81.3"/>
    <n v="76.2"/>
    <n v="2"/>
    <n v="1"/>
    <n v="55"/>
    <n v="73.7"/>
    <n v="36.700000000000003"/>
    <n v="63.3"/>
    <n v="21399"/>
    <n v="25700"/>
    <x v="22"/>
    <n v="83"/>
  </r>
  <r>
    <d v="2023-02-25T00:00:00"/>
    <s v="Vitality Stadium"/>
    <n v="10481"/>
    <s v="Bournemouth"/>
    <n v="1"/>
    <s v="Manchester City"/>
    <n v="4"/>
    <n v="34"/>
    <n v="66"/>
    <n v="13"/>
    <n v="20"/>
    <n v="2"/>
    <n v="5"/>
    <n v="5"/>
    <n v="8"/>
    <n v="6"/>
    <n v="7"/>
    <n v="83"/>
    <n v="90.1"/>
    <n v="0"/>
    <n v="1"/>
    <n v="53.3"/>
    <n v="65.400000000000006"/>
    <n v="52.6"/>
    <n v="47.4"/>
    <n v="7481"/>
    <n v="9879"/>
    <x v="12"/>
    <n v="75"/>
  </r>
  <r>
    <d v="2023-02-25T00:00:00"/>
    <s v="London Stadium"/>
    <n v="62469"/>
    <s v="West Ham United"/>
    <n v="4"/>
    <s v="Nottingham Forest"/>
    <n v="0"/>
    <n v="49.1"/>
    <n v="50.9"/>
    <n v="18"/>
    <n v="8"/>
    <n v="5"/>
    <n v="3"/>
    <n v="8"/>
    <n v="3"/>
    <n v="5"/>
    <n v="2"/>
    <n v="78"/>
    <n v="78.2"/>
    <n v="4"/>
    <n v="0"/>
    <n v="69.2"/>
    <n v="60"/>
    <n v="52.1"/>
    <n v="47.9"/>
    <n v="59469"/>
    <n v="65013"/>
    <x v="5"/>
    <n v="91"/>
  </r>
  <r>
    <d v="2023-02-25T00:00:00"/>
    <s v="Elland Road"/>
    <n v="36641"/>
    <s v="Leeds United"/>
    <n v="1"/>
    <s v="Southampton"/>
    <n v="0"/>
    <n v="60.6"/>
    <n v="39.4"/>
    <n v="14"/>
    <n v="8"/>
    <n v="4"/>
    <n v="2"/>
    <n v="6"/>
    <n v="3"/>
    <n v="4"/>
    <n v="3"/>
    <n v="84.6"/>
    <n v="77.7"/>
    <n v="0"/>
    <n v="0"/>
    <n v="65.2"/>
    <n v="55.6"/>
    <n v="52.2"/>
    <n v="47.8"/>
    <n v="33641"/>
    <n v="35220"/>
    <x v="9"/>
    <n v="95"/>
  </r>
  <r>
    <d v="2023-02-25T00:00:00"/>
    <s v="Selhurst Park"/>
    <n v="25842"/>
    <s v="Crystal Palace"/>
    <n v="0"/>
    <s v="Liverpool"/>
    <n v="0"/>
    <n v="36.200000000000003"/>
    <n v="63.8"/>
    <n v="6"/>
    <n v="12"/>
    <n v="0"/>
    <n v="4"/>
    <n v="4"/>
    <n v="5"/>
    <n v="2"/>
    <n v="3"/>
    <n v="74.5"/>
    <n v="84.5"/>
    <n v="2"/>
    <n v="2"/>
    <n v="68.8"/>
    <n v="64.3"/>
    <n v="50"/>
    <n v="50"/>
    <n v="22842"/>
    <n v="23486"/>
    <x v="14"/>
    <n v="97"/>
  </r>
  <r>
    <d v="2023-02-25T00:00:00"/>
    <s v="Goodison Park"/>
    <n v="39309"/>
    <s v="Everton"/>
    <n v="0"/>
    <s v="Aston Villa"/>
    <n v="2"/>
    <n v="46.5"/>
    <n v="53.5"/>
    <n v="15"/>
    <n v="9"/>
    <n v="5"/>
    <n v="5"/>
    <n v="7"/>
    <n v="4"/>
    <n v="3"/>
    <n v="0"/>
    <n v="78.5"/>
    <n v="79.2"/>
    <n v="0"/>
    <n v="3"/>
    <n v="50"/>
    <n v="50"/>
    <n v="48.6"/>
    <n v="51.4"/>
    <n v="36309"/>
    <n v="36572"/>
    <x v="4"/>
    <n v="99"/>
  </r>
  <r>
    <d v="2023-02-25T00:00:00"/>
    <s v="The King Power Stadium"/>
    <n v="32227"/>
    <s v="Leicester City"/>
    <n v="0"/>
    <s v="Arsenal"/>
    <n v="1"/>
    <n v="34.1"/>
    <n v="65.900000000000006"/>
    <n v="1"/>
    <n v="10"/>
    <n v="0"/>
    <n v="2"/>
    <n v="1"/>
    <n v="3"/>
    <n v="0"/>
    <n v="5"/>
    <n v="68.900000000000006"/>
    <n v="82.4"/>
    <n v="0"/>
    <n v="1"/>
    <n v="66.7"/>
    <n v="54.5"/>
    <n v="47.1"/>
    <n v="52.9"/>
    <n v="29227"/>
    <n v="29261"/>
    <x v="4"/>
    <n v="99"/>
  </r>
  <r>
    <d v="2023-02-26T00:00:00"/>
    <s v="Tottenham Hotspur Stadium"/>
    <n v="61613"/>
    <s v="Tottenham Hotspur"/>
    <n v="2"/>
    <s v="Chelsea"/>
    <n v="0"/>
    <n v="41.2"/>
    <n v="58.8"/>
    <n v="8"/>
    <n v="10"/>
    <n v="3"/>
    <n v="2"/>
    <n v="4"/>
    <n v="5"/>
    <n v="1"/>
    <n v="3"/>
    <n v="82.2"/>
    <n v="89.3"/>
    <n v="1"/>
    <n v="0"/>
    <n v="59.3"/>
    <n v="78.900000000000006"/>
    <n v="60.7"/>
    <n v="39.299999999999997"/>
    <n v="58613"/>
    <n v="59850"/>
    <x v="14"/>
    <n v="97"/>
  </r>
  <r>
    <d v="2023-03-01T00:00:00"/>
    <s v="Anfield"/>
    <n v="53259"/>
    <s v="Liverpool"/>
    <n v="2"/>
    <s v="Wolverhampton Wanderers"/>
    <n v="0"/>
    <n v="56.8"/>
    <n v="43.2"/>
    <n v="15"/>
    <n v="4"/>
    <n v="6"/>
    <n v="1"/>
    <n v="6"/>
    <n v="2"/>
    <n v="3"/>
    <n v="1"/>
    <n v="83.1"/>
    <n v="80.099999999999994"/>
    <n v="3"/>
    <n v="1"/>
    <n v="83.3"/>
    <n v="57.1"/>
    <n v="42.9"/>
    <n v="57.1"/>
    <n v="50259"/>
    <n v="58000"/>
    <x v="10"/>
    <n v="86"/>
  </r>
  <r>
    <d v="2023-03-01T00:00:00"/>
    <s v="Emirates Stadium"/>
    <n v="60213"/>
    <s v="Arsenal"/>
    <n v="4"/>
    <s v="Everton"/>
    <n v="0"/>
    <n v="73.099999999999994"/>
    <n v="26.9"/>
    <n v="15"/>
    <n v="8"/>
    <n v="5"/>
    <n v="5"/>
    <n v="5"/>
    <n v="2"/>
    <n v="5"/>
    <n v="1"/>
    <n v="87.6"/>
    <n v="67.5"/>
    <n v="4"/>
    <n v="1"/>
    <n v="100"/>
    <n v="66.7"/>
    <n v="42.3"/>
    <n v="57.7"/>
    <n v="57213"/>
    <n v="57704"/>
    <x v="4"/>
    <n v="99"/>
  </r>
  <r>
    <d v="2023-03-04T00:00:00"/>
    <s v="St. Mary's Stadium"/>
    <n v="30139"/>
    <s v="Southampton"/>
    <n v="1"/>
    <s v="Leicester City"/>
    <n v="0"/>
    <n v="34.9"/>
    <n v="65.099999999999994"/>
    <n v="11"/>
    <n v="11"/>
    <n v="5"/>
    <n v="0"/>
    <n v="2"/>
    <n v="7"/>
    <n v="4"/>
    <n v="4"/>
    <n v="68.8"/>
    <n v="79"/>
    <n v="0"/>
    <n v="3"/>
    <n v="42.9"/>
    <n v="63.6"/>
    <n v="31.6"/>
    <n v="68.400000000000006"/>
    <n v="27139"/>
    <n v="29384"/>
    <x v="6"/>
    <n v="92"/>
  </r>
  <r>
    <d v="2023-03-04T00:00:00"/>
    <s v="Amex Stadium"/>
    <n v="31523"/>
    <s v="Brighton and Hove Albion"/>
    <n v="4"/>
    <s v="West Ham United"/>
    <n v="0"/>
    <n v="65.8"/>
    <n v="34.200000000000003"/>
    <n v="20"/>
    <n v="3"/>
    <n v="9"/>
    <n v="2"/>
    <n v="7"/>
    <n v="0"/>
    <n v="4"/>
    <n v="1"/>
    <n v="90.5"/>
    <n v="78.8"/>
    <n v="2"/>
    <n v="0"/>
    <n v="50"/>
    <n v="45.5"/>
    <n v="57.1"/>
    <n v="42.9"/>
    <n v="28523"/>
    <n v="28876"/>
    <x v="3"/>
    <n v="98"/>
  </r>
  <r>
    <d v="2023-03-04T00:00:00"/>
    <s v="Stamford Bridge"/>
    <n v="39905"/>
    <s v="Chelsea"/>
    <n v="1"/>
    <s v="Leeds United"/>
    <n v="0"/>
    <n v="57.2"/>
    <n v="42.8"/>
    <n v="13"/>
    <n v="11"/>
    <n v="3"/>
    <n v="2"/>
    <n v="8"/>
    <n v="6"/>
    <n v="2"/>
    <n v="3"/>
    <n v="87.6"/>
    <n v="79.3"/>
    <n v="3"/>
    <n v="0"/>
    <n v="65.400000000000006"/>
    <n v="65.2"/>
    <n v="46.7"/>
    <n v="53.3"/>
    <n v="36905"/>
    <n v="37343"/>
    <x v="3"/>
    <n v="98"/>
  </r>
  <r>
    <d v="2023-03-04T00:00:00"/>
    <s v="Molineux"/>
    <n v="31585"/>
    <s v="Wolverhampton Wanderers"/>
    <n v="1"/>
    <s v="Tottenham Hotspur"/>
    <n v="0"/>
    <n v="46.5"/>
    <n v="53.5"/>
    <n v="8"/>
    <n v="21"/>
    <n v="5"/>
    <n v="6"/>
    <n v="3"/>
    <n v="6"/>
    <n v="0"/>
    <n v="9"/>
    <n v="81.5"/>
    <n v="85.8"/>
    <n v="2"/>
    <n v="2"/>
    <n v="50"/>
    <n v="60"/>
    <n v="47.4"/>
    <n v="52.6"/>
    <n v="28585"/>
    <n v="29050"/>
    <x v="3"/>
    <n v="98"/>
  </r>
  <r>
    <d v="2023-03-04T00:00:00"/>
    <s v="Emirates Stadium"/>
    <n v="60222"/>
    <s v="Arsenal"/>
    <n v="3"/>
    <s v="Bournemouth"/>
    <n v="2"/>
    <n v="80.099999999999994"/>
    <n v="19.899999999999999"/>
    <n v="31"/>
    <n v="4"/>
    <n v="9"/>
    <n v="4"/>
    <n v="10"/>
    <n v="0"/>
    <n v="12"/>
    <n v="0"/>
    <n v="88.6"/>
    <n v="57.6"/>
    <n v="1"/>
    <n v="2"/>
    <n v="58.8"/>
    <n v="75"/>
    <n v="55.9"/>
    <n v="44.1"/>
    <n v="57222"/>
    <n v="57704"/>
    <x v="4"/>
    <n v="99"/>
  </r>
  <r>
    <d v="2023-03-04T00:00:00"/>
    <s v="Villa Park"/>
    <n v="41893"/>
    <s v="Aston Villa"/>
    <n v="1"/>
    <s v="Crystal Palace"/>
    <n v="0"/>
    <n v="58.1"/>
    <n v="41.9"/>
    <n v="8"/>
    <n v="3"/>
    <n v="1"/>
    <n v="0"/>
    <n v="4"/>
    <n v="2"/>
    <n v="3"/>
    <n v="1"/>
    <n v="87.8"/>
    <n v="83.8"/>
    <n v="1"/>
    <n v="0"/>
    <n v="61.5"/>
    <n v="59.1"/>
    <n v="66.7"/>
    <n v="33.299999999999997"/>
    <n v="38893"/>
    <n v="39000"/>
    <x v="4"/>
    <n v="99"/>
  </r>
  <r>
    <d v="2023-03-04T00:00:00"/>
    <s v="Etihad Stadium"/>
    <n v="53419"/>
    <s v="Manchester City"/>
    <n v="2"/>
    <s v="Newcastle United"/>
    <n v="0"/>
    <n v="56.3"/>
    <n v="43.7"/>
    <n v="11"/>
    <n v="5"/>
    <n v="3"/>
    <n v="2"/>
    <n v="6"/>
    <n v="1"/>
    <n v="2"/>
    <n v="2"/>
    <n v="86.5"/>
    <n v="80.7"/>
    <n v="2"/>
    <n v="1"/>
    <n v="46.2"/>
    <n v="63.6"/>
    <n v="56.3"/>
    <n v="43.8"/>
    <n v="50419"/>
    <n v="50400"/>
    <x v="8"/>
    <n v="100"/>
  </r>
  <r>
    <d v="2023-03-05T00:00:00"/>
    <s v="Anfield"/>
    <n v="53001"/>
    <s v="Liverpool"/>
    <n v="7"/>
    <s v="Manchester United"/>
    <n v="0"/>
    <n v="59.6"/>
    <n v="40.4"/>
    <n v="18"/>
    <n v="8"/>
    <n v="8"/>
    <n v="4"/>
    <n v="5"/>
    <n v="3"/>
    <n v="5"/>
    <n v="1"/>
    <n v="78"/>
    <n v="71"/>
    <n v="6"/>
    <n v="2"/>
    <n v="82.4"/>
    <n v="66.7"/>
    <n v="42.9"/>
    <n v="57.1"/>
    <n v="50001"/>
    <n v="58000"/>
    <x v="10"/>
    <n v="86"/>
  </r>
  <r>
    <d v="2023-03-05T00:00:00"/>
    <s v="The City Ground"/>
    <n v="29353"/>
    <s v="Nottingham Forest"/>
    <n v="2"/>
    <s v="Everton"/>
    <n v="2"/>
    <n v="57.1"/>
    <n v="42.9"/>
    <n v="10"/>
    <n v="10"/>
    <n v="4"/>
    <n v="3"/>
    <n v="2"/>
    <n v="2"/>
    <n v="4"/>
    <n v="5"/>
    <n v="76.7"/>
    <n v="66.5"/>
    <n v="0"/>
    <n v="2"/>
    <n v="70.8"/>
    <n v="61.9"/>
    <n v="41.2"/>
    <n v="58.8"/>
    <n v="26353"/>
    <n v="27445"/>
    <x v="7"/>
    <n v="96"/>
  </r>
  <r>
    <d v="2023-03-06T00:00:00"/>
    <s v="Gtech Community Stadium"/>
    <n v="17025"/>
    <s v="Brentford"/>
    <n v="3"/>
    <s v="Fulham"/>
    <n v="2"/>
    <n v="36.200000000000003"/>
    <n v="63.8"/>
    <n v="14"/>
    <n v="9"/>
    <n v="6"/>
    <n v="5"/>
    <n v="7"/>
    <n v="4"/>
    <n v="1"/>
    <n v="0"/>
    <n v="66.8"/>
    <n v="82.8"/>
    <n v="3"/>
    <n v="0"/>
    <n v="68.2"/>
    <n v="58.3"/>
    <n v="69.2"/>
    <n v="30.8"/>
    <n v="14025"/>
    <n v="15250"/>
    <x v="5"/>
    <n v="91"/>
  </r>
  <r>
    <d v="2023-03-11T00:00:00"/>
    <s v="Vitality Stadium"/>
    <n v="10536"/>
    <s v="Bournemouth"/>
    <n v="1"/>
    <s v="Liverpool"/>
    <n v="0"/>
    <n v="30.7"/>
    <n v="69.3"/>
    <n v="5"/>
    <n v="15"/>
    <n v="2"/>
    <n v="6"/>
    <n v="3"/>
    <n v="8"/>
    <n v="0"/>
    <n v="1"/>
    <n v="65.5"/>
    <n v="83.4"/>
    <n v="2"/>
    <n v="3"/>
    <n v="63.6"/>
    <n v="68.2"/>
    <n v="54.8"/>
    <n v="45.2"/>
    <n v="7536"/>
    <n v="9879"/>
    <x v="23"/>
    <n v="76"/>
  </r>
  <r>
    <d v="2023-03-11T00:00:00"/>
    <s v="Elland Road"/>
    <n v="36471"/>
    <s v="Leeds United"/>
    <n v="2"/>
    <s v="Brighton and Hove Albion"/>
    <n v="2"/>
    <n v="38"/>
    <n v="62"/>
    <n v="12"/>
    <n v="15"/>
    <n v="4"/>
    <n v="3"/>
    <n v="3"/>
    <n v="8"/>
    <n v="5"/>
    <n v="4"/>
    <n v="82"/>
    <n v="86.1"/>
    <n v="0"/>
    <n v="2"/>
    <n v="71.400000000000006"/>
    <n v="54.2"/>
    <n v="29.4"/>
    <n v="70.599999999999994"/>
    <n v="33471"/>
    <n v="35220"/>
    <x v="9"/>
    <n v="95"/>
  </r>
  <r>
    <d v="2023-03-11T00:00:00"/>
    <s v="Tottenham Hotspur Stadium"/>
    <n v="61460"/>
    <s v="Tottenham Hotspur"/>
    <n v="3"/>
    <s v="Nottingham Forest"/>
    <n v="1"/>
    <n v="55.2"/>
    <n v="44.8"/>
    <n v="15"/>
    <n v="9"/>
    <n v="7"/>
    <n v="5"/>
    <n v="3"/>
    <n v="2"/>
    <n v="5"/>
    <n v="2"/>
    <n v="87.1"/>
    <n v="81.3"/>
    <n v="0"/>
    <n v="1"/>
    <n v="60"/>
    <n v="87.5"/>
    <n v="60.7"/>
    <n v="39.299999999999997"/>
    <n v="58460"/>
    <n v="59850"/>
    <x v="14"/>
    <n v="97"/>
  </r>
  <r>
    <d v="2023-03-11T00:00:00"/>
    <s v="Selhurst Park"/>
    <n v="25844"/>
    <s v="Crystal Palace"/>
    <n v="0"/>
    <s v="Manchester City"/>
    <n v="1"/>
    <n v="32.200000000000003"/>
    <n v="67.8"/>
    <n v="4"/>
    <n v="14"/>
    <n v="0"/>
    <n v="4"/>
    <n v="0"/>
    <n v="5"/>
    <n v="4"/>
    <n v="5"/>
    <n v="75.2"/>
    <n v="87.3"/>
    <n v="0"/>
    <n v="2"/>
    <n v="72.7"/>
    <n v="50"/>
    <n v="42.9"/>
    <n v="57.1"/>
    <n v="22844"/>
    <n v="23486"/>
    <x v="14"/>
    <n v="97"/>
  </r>
  <r>
    <d v="2023-03-11T00:00:00"/>
    <s v="Goodison Park"/>
    <n v="39036"/>
    <s v="Everton"/>
    <n v="1"/>
    <s v="Brentford"/>
    <n v="0"/>
    <n v="33.299999999999997"/>
    <n v="66.7"/>
    <n v="13"/>
    <n v="12"/>
    <n v="6"/>
    <n v="4"/>
    <n v="6"/>
    <n v="6"/>
    <n v="1"/>
    <n v="2"/>
    <n v="62.6"/>
    <n v="77.400000000000006"/>
    <n v="1"/>
    <n v="3"/>
    <n v="56"/>
    <n v="81.8"/>
    <n v="43.9"/>
    <n v="56.1"/>
    <n v="36036"/>
    <n v="36572"/>
    <x v="3"/>
    <n v="98"/>
  </r>
  <r>
    <d v="2023-03-11T00:00:00"/>
    <s v="The King Power Stadium"/>
    <n v="32170"/>
    <s v="Leicester City"/>
    <n v="1"/>
    <s v="Chelsea"/>
    <n v="3"/>
    <n v="48.4"/>
    <n v="51.6"/>
    <n v="17"/>
    <n v="12"/>
    <n v="7"/>
    <n v="6"/>
    <n v="4"/>
    <n v="3"/>
    <n v="6"/>
    <n v="3"/>
    <n v="83"/>
    <n v="84.4"/>
    <n v="3"/>
    <n v="2"/>
    <n v="73.3"/>
    <n v="58.3"/>
    <n v="65.5"/>
    <n v="34.5"/>
    <n v="29170"/>
    <n v="29261"/>
    <x v="4"/>
    <n v="99"/>
  </r>
  <r>
    <d v="2023-03-12T00:00:00"/>
    <s v="Craven Cottage"/>
    <n v="24426"/>
    <s v="Fulham"/>
    <n v="0"/>
    <s v="Arsenal"/>
    <n v="3"/>
    <n v="44.7"/>
    <n v="55.3"/>
    <n v="12"/>
    <n v="15"/>
    <n v="2"/>
    <n v="7"/>
    <n v="6"/>
    <n v="3"/>
    <n v="4"/>
    <n v="5"/>
    <n v="82.7"/>
    <n v="86.5"/>
    <n v="0"/>
    <n v="4"/>
    <n v="57.1"/>
    <n v="70"/>
    <n v="59.3"/>
    <n v="40.700000000000003"/>
    <n v="21426"/>
    <n v="25700"/>
    <x v="22"/>
    <n v="83"/>
  </r>
  <r>
    <d v="2023-03-12T00:00:00"/>
    <s v="London Stadium"/>
    <n v="62472"/>
    <s v="West Ham United"/>
    <n v="1"/>
    <s v="Aston Villa"/>
    <n v="1"/>
    <n v="40.799999999999997"/>
    <n v="59.2"/>
    <n v="17"/>
    <n v="12"/>
    <n v="6"/>
    <n v="4"/>
    <n v="8"/>
    <n v="4"/>
    <n v="3"/>
    <n v="4"/>
    <n v="82.4"/>
    <n v="87"/>
    <n v="2"/>
    <n v="3"/>
    <n v="55.6"/>
    <n v="66.7"/>
    <n v="60"/>
    <n v="40"/>
    <n v="59472"/>
    <n v="65013"/>
    <x v="5"/>
    <n v="91"/>
  </r>
  <r>
    <d v="2023-03-12T00:00:00"/>
    <s v="Old Trafford"/>
    <n v="73439"/>
    <s v="Manchester United"/>
    <n v="0"/>
    <s v="Southampton"/>
    <n v="0"/>
    <n v="46.7"/>
    <n v="53.3"/>
    <n v="10"/>
    <n v="17"/>
    <n v="4"/>
    <n v="4"/>
    <n v="3"/>
    <n v="4"/>
    <n v="3"/>
    <n v="9"/>
    <n v="78"/>
    <n v="84.5"/>
    <n v="2"/>
    <n v="1"/>
    <n v="43.5"/>
    <n v="78.599999999999994"/>
    <n v="68.8"/>
    <n v="31.3"/>
    <n v="70439"/>
    <n v="71310"/>
    <x v="3"/>
    <n v="98"/>
  </r>
  <r>
    <d v="2023-03-12T00:00:00"/>
    <s v="St James' Park, Newcastle"/>
    <n v="52240"/>
    <s v="Newcastle United"/>
    <n v="2"/>
    <s v="Wolverhampton Wanderers"/>
    <n v="1"/>
    <n v="42.1"/>
    <n v="57.9"/>
    <n v="19"/>
    <n v="7"/>
    <n v="8"/>
    <n v="4"/>
    <n v="3"/>
    <n v="3"/>
    <n v="8"/>
    <n v="0"/>
    <n v="78.8"/>
    <n v="81.2"/>
    <n v="3"/>
    <n v="0"/>
    <n v="46.2"/>
    <n v="60"/>
    <n v="52.2"/>
    <n v="47.8"/>
    <n v="49240"/>
    <n v="49350"/>
    <x v="4"/>
    <n v="99"/>
  </r>
  <r>
    <d v="2023-03-15T00:00:00"/>
    <s v="St. Mary's Stadium"/>
    <n v="30438"/>
    <s v="Southampton"/>
    <n v="0"/>
    <s v="Brentford"/>
    <n v="2"/>
    <n v="66.400000000000006"/>
    <n v="33.6"/>
    <n v="7"/>
    <n v="11"/>
    <n v="1"/>
    <n v="5"/>
    <n v="3"/>
    <n v="2"/>
    <n v="3"/>
    <n v="4"/>
    <n v="82.4"/>
    <n v="64.400000000000006"/>
    <n v="0"/>
    <n v="3"/>
    <n v="37.5"/>
    <n v="55"/>
    <n v="41.5"/>
    <n v="58.5"/>
    <n v="27438"/>
    <n v="29384"/>
    <x v="16"/>
    <n v="93"/>
  </r>
  <r>
    <d v="2023-03-15T00:00:00"/>
    <s v="Amex Stadium"/>
    <n v="30933"/>
    <s v="Brighton and Hove Albion"/>
    <n v="1"/>
    <s v="Crystal Palace"/>
    <n v="0"/>
    <n v="57.1"/>
    <n v="42.9"/>
    <n v="11"/>
    <n v="11"/>
    <n v="5"/>
    <n v="3"/>
    <n v="5"/>
    <n v="6"/>
    <n v="1"/>
    <n v="2"/>
    <n v="84.3"/>
    <n v="80.2"/>
    <n v="0"/>
    <n v="2"/>
    <n v="55"/>
    <n v="73.3"/>
    <n v="76.900000000000006"/>
    <n v="23.1"/>
    <n v="27933"/>
    <n v="28876"/>
    <x v="7"/>
    <n v="96"/>
  </r>
  <r>
    <d v="2023-03-17T00:00:00"/>
    <s v="The City Ground"/>
    <n v="29362"/>
    <s v="Nottingham Forest"/>
    <n v="1"/>
    <s v="Newcastle United"/>
    <n v="2"/>
    <n v="38.4"/>
    <n v="61.6"/>
    <n v="5"/>
    <n v="15"/>
    <n v="3"/>
    <n v="4"/>
    <n v="2"/>
    <n v="5"/>
    <n v="0"/>
    <n v="6"/>
    <n v="67.400000000000006"/>
    <n v="79.7"/>
    <n v="0"/>
    <n v="2"/>
    <n v="75"/>
    <n v="73.3"/>
    <n v="34.200000000000003"/>
    <n v="65.8"/>
    <n v="26362"/>
    <n v="27445"/>
    <x v="7"/>
    <n v="96"/>
  </r>
  <r>
    <d v="2023-03-18T00:00:00"/>
    <s v="Gtech Community Stadium"/>
    <n v="17006"/>
    <s v="Brentford"/>
    <n v="1"/>
    <s v="Leicester City"/>
    <n v="1"/>
    <n v="52.9"/>
    <n v="47.1"/>
    <n v="11"/>
    <n v="14"/>
    <n v="2"/>
    <n v="1"/>
    <n v="2"/>
    <n v="6"/>
    <n v="7"/>
    <n v="7"/>
    <n v="77.3"/>
    <n v="80.099999999999994"/>
    <n v="0"/>
    <n v="1"/>
    <n v="77.3"/>
    <n v="41.7"/>
    <n v="51.6"/>
    <n v="48.4"/>
    <n v="14006"/>
    <n v="15250"/>
    <x v="5"/>
    <n v="91"/>
  </r>
  <r>
    <d v="2023-03-18T00:00:00"/>
    <s v="St. Mary's Stadium"/>
    <n v="30157"/>
    <s v="Southampton"/>
    <n v="3"/>
    <s v="Tottenham Hotspur"/>
    <n v="3"/>
    <n v="50.4"/>
    <n v="49.6"/>
    <n v="19"/>
    <n v="17"/>
    <n v="7"/>
    <n v="3"/>
    <n v="7"/>
    <n v="9"/>
    <n v="5"/>
    <n v="5"/>
    <n v="84.9"/>
    <n v="83.8"/>
    <n v="2"/>
    <n v="2"/>
    <n v="76.900000000000006"/>
    <n v="68.400000000000006"/>
    <n v="41.7"/>
    <n v="58.3"/>
    <n v="27157"/>
    <n v="29384"/>
    <x v="6"/>
    <n v="92"/>
  </r>
  <r>
    <d v="2023-03-18T00:00:00"/>
    <s v="Villa Park"/>
    <n v="41021"/>
    <s v="Aston Villa"/>
    <n v="3"/>
    <s v="Bournemouth"/>
    <n v="0"/>
    <n v="55.8"/>
    <n v="44.2"/>
    <n v="20"/>
    <n v="10"/>
    <n v="9"/>
    <n v="3"/>
    <n v="3"/>
    <n v="4"/>
    <n v="8"/>
    <n v="3"/>
    <n v="85.2"/>
    <n v="84"/>
    <n v="5"/>
    <n v="0"/>
    <n v="62.5"/>
    <n v="75"/>
    <n v="43.8"/>
    <n v="56.3"/>
    <n v="38021"/>
    <n v="39000"/>
    <x v="14"/>
    <n v="97"/>
  </r>
  <r>
    <d v="2023-03-18T00:00:00"/>
    <s v="Molineux"/>
    <n v="31570"/>
    <s v="Wolverhampton Wanderers"/>
    <n v="2"/>
    <s v="Leeds United"/>
    <n v="4"/>
    <n v="65.900000000000006"/>
    <n v="34.1"/>
    <n v="23"/>
    <n v="11"/>
    <n v="8"/>
    <n v="4"/>
    <n v="9"/>
    <n v="5"/>
    <n v="6"/>
    <n v="2"/>
    <n v="83.1"/>
    <n v="67.7"/>
    <n v="4"/>
    <n v="2"/>
    <n v="71.400000000000006"/>
    <n v="66.7"/>
    <n v="59.3"/>
    <n v="40.700000000000003"/>
    <n v="28570"/>
    <n v="29050"/>
    <x v="3"/>
    <n v="98"/>
  </r>
  <r>
    <d v="2023-03-18T00:00:00"/>
    <s v="Stamford Bridge"/>
    <n v="40025"/>
    <s v="Chelsea"/>
    <n v="2"/>
    <s v="Everton"/>
    <n v="2"/>
    <n v="68.900000000000006"/>
    <n v="31.1"/>
    <n v="20"/>
    <n v="12"/>
    <n v="7"/>
    <n v="3"/>
    <n v="3"/>
    <n v="4"/>
    <n v="10"/>
    <n v="5"/>
    <n v="83.9"/>
    <n v="67.099999999999994"/>
    <n v="0"/>
    <n v="3"/>
    <n v="73.3"/>
    <n v="65"/>
    <n v="67.900000000000006"/>
    <n v="32.1"/>
    <n v="37025"/>
    <n v="37343"/>
    <x v="4"/>
    <n v="99"/>
  </r>
  <r>
    <d v="2023-03-19T00:00:00"/>
    <s v="Emirates Stadium"/>
    <n v="60247"/>
    <s v="Arsenal"/>
    <n v="4"/>
    <s v="Crystal Palace"/>
    <n v="1"/>
    <n v="62.2"/>
    <n v="37.799999999999997"/>
    <n v="15"/>
    <n v="9"/>
    <n v="5"/>
    <n v="5"/>
    <n v="5"/>
    <n v="1"/>
    <n v="5"/>
    <n v="3"/>
    <n v="86.7"/>
    <n v="77.900000000000006"/>
    <n v="1"/>
    <n v="1"/>
    <n v="60"/>
    <n v="55.6"/>
    <n v="62.1"/>
    <n v="37.9"/>
    <n v="57247"/>
    <n v="57704"/>
    <x v="4"/>
    <n v="99"/>
  </r>
  <r>
    <d v="2023-04-01T00:00:00"/>
    <s v="Vitality Stadium"/>
    <n v="10305"/>
    <s v="Bournemouth"/>
    <n v="2"/>
    <s v="Fulham"/>
    <n v="1"/>
    <n v="42.7"/>
    <n v="57.3"/>
    <n v="12"/>
    <n v="10"/>
    <n v="7"/>
    <n v="2"/>
    <n v="3"/>
    <n v="6"/>
    <n v="2"/>
    <n v="2"/>
    <n v="76.599999999999994"/>
    <n v="85.5"/>
    <n v="2"/>
    <n v="0"/>
    <n v="76.5"/>
    <n v="57.9"/>
    <n v="52.2"/>
    <n v="47.8"/>
    <n v="7305"/>
    <n v="9879"/>
    <x v="11"/>
    <n v="73"/>
  </r>
  <r>
    <d v="2023-04-01T00:00:00"/>
    <s v="Selhurst Park"/>
    <n v="25143"/>
    <s v="Crystal Palace"/>
    <n v="2"/>
    <s v="Leicester City"/>
    <n v="1"/>
    <n v="51"/>
    <n v="49"/>
    <n v="31"/>
    <n v="3"/>
    <n v="9"/>
    <n v="2"/>
    <n v="8"/>
    <n v="0"/>
    <n v="14"/>
    <n v="1"/>
    <n v="80"/>
    <n v="77.5"/>
    <n v="2"/>
    <n v="0"/>
    <n v="66.7"/>
    <n v="50"/>
    <n v="46.9"/>
    <n v="53.1"/>
    <n v="22143"/>
    <n v="23486"/>
    <x v="0"/>
    <n v="94"/>
  </r>
  <r>
    <d v="2023-04-01T00:00:00"/>
    <s v="The City Ground"/>
    <n v="29368"/>
    <s v="Nottingham Forest"/>
    <n v="1"/>
    <s v="Wolverhampton Wanderers"/>
    <n v="1"/>
    <n v="27.6"/>
    <n v="72.400000000000006"/>
    <n v="17"/>
    <n v="8"/>
    <n v="7"/>
    <n v="1"/>
    <n v="7"/>
    <n v="3"/>
    <n v="3"/>
    <n v="4"/>
    <n v="68.900000000000006"/>
    <n v="85.1"/>
    <n v="0"/>
    <n v="0"/>
    <n v="53.3"/>
    <n v="42.9"/>
    <n v="51.5"/>
    <n v="48.5"/>
    <n v="26368"/>
    <n v="27445"/>
    <x v="7"/>
    <n v="96"/>
  </r>
  <r>
    <d v="2023-04-01T00:00:00"/>
    <s v="Etihad Stadium"/>
    <n v="52877"/>
    <s v="Manchester City"/>
    <n v="4"/>
    <s v="Liverpool"/>
    <n v="1"/>
    <n v="68.099999999999994"/>
    <n v="31.9"/>
    <n v="17"/>
    <n v="4"/>
    <n v="8"/>
    <n v="1"/>
    <n v="3"/>
    <n v="0"/>
    <n v="6"/>
    <n v="3"/>
    <n v="91.9"/>
    <n v="82.3"/>
    <n v="3"/>
    <n v="0"/>
    <n v="0"/>
    <n v="66.7"/>
    <n v="12.5"/>
    <n v="87.5"/>
    <n v="49877"/>
    <n v="50400"/>
    <x v="3"/>
    <n v="98"/>
  </r>
  <r>
    <d v="2023-04-01T00:00:00"/>
    <s v="Amex Stadium"/>
    <n v="31493"/>
    <s v="Brighton and Hove Albion"/>
    <n v="3"/>
    <s v="Brentford"/>
    <n v="3"/>
    <n v="72.2"/>
    <n v="27.8"/>
    <n v="33"/>
    <n v="7"/>
    <n v="15"/>
    <n v="5"/>
    <n v="8"/>
    <n v="1"/>
    <n v="10"/>
    <n v="1"/>
    <n v="87.1"/>
    <n v="66.099999999999994"/>
    <n v="4"/>
    <n v="2"/>
    <n v="66.7"/>
    <n v="43.8"/>
    <n v="61.5"/>
    <n v="38.5"/>
    <n v="28493"/>
    <n v="28876"/>
    <x v="3"/>
    <n v="98"/>
  </r>
  <r>
    <d v="2023-04-01T00:00:00"/>
    <s v="Emirates Stadium"/>
    <n v="60283"/>
    <s v="Arsenal"/>
    <n v="4"/>
    <s v="Leeds United"/>
    <n v="1"/>
    <n v="67.099999999999994"/>
    <n v="32.9"/>
    <n v="13"/>
    <n v="7"/>
    <n v="6"/>
    <n v="5"/>
    <n v="2"/>
    <n v="1"/>
    <n v="5"/>
    <n v="1"/>
    <n v="85.5"/>
    <n v="71.7"/>
    <n v="5"/>
    <n v="0"/>
    <n v="60"/>
    <n v="57.1"/>
    <n v="62.5"/>
    <n v="37.5"/>
    <n v="57283"/>
    <n v="57704"/>
    <x v="4"/>
    <n v="99"/>
  </r>
  <r>
    <d v="2023-04-01T00:00:00"/>
    <s v="Stamford Bridge"/>
    <n v="40082"/>
    <s v="Chelsea"/>
    <n v="0"/>
    <s v="Aston Villa"/>
    <n v="2"/>
    <n v="69"/>
    <n v="31"/>
    <n v="27"/>
    <n v="5"/>
    <n v="8"/>
    <n v="2"/>
    <n v="15"/>
    <n v="3"/>
    <n v="4"/>
    <n v="0"/>
    <n v="90.5"/>
    <n v="75.099999999999994"/>
    <n v="2"/>
    <n v="1"/>
    <n v="72.2"/>
    <n v="58.3"/>
    <n v="45.8"/>
    <n v="54.2"/>
    <n v="37082"/>
    <n v="37343"/>
    <x v="4"/>
    <n v="99"/>
  </r>
  <r>
    <d v="2023-04-02T00:00:00"/>
    <s v="London Stadium"/>
    <n v="62465"/>
    <s v="West Ham United"/>
    <n v="1"/>
    <s v="Southampton"/>
    <n v="0"/>
    <n v="43"/>
    <n v="57"/>
    <n v="12"/>
    <n v="9"/>
    <n v="2"/>
    <n v="3"/>
    <n v="7"/>
    <n v="4"/>
    <n v="3"/>
    <n v="2"/>
    <n v="73.400000000000006"/>
    <n v="83.6"/>
    <n v="2"/>
    <n v="0"/>
    <n v="67.900000000000006"/>
    <n v="57.7"/>
    <n v="38.700000000000003"/>
    <n v="61.3"/>
    <n v="59465"/>
    <n v="65013"/>
    <x v="5"/>
    <n v="91"/>
  </r>
  <r>
    <d v="2023-04-02T00:00:00"/>
    <s v="St James' Park, Newcastle"/>
    <n v="52268"/>
    <s v="Newcastle United"/>
    <n v="2"/>
    <s v="Manchester United"/>
    <n v="0"/>
    <n v="45.7"/>
    <n v="54.3"/>
    <n v="22"/>
    <n v="6"/>
    <n v="6"/>
    <n v="1"/>
    <n v="9"/>
    <n v="3"/>
    <n v="7"/>
    <n v="2"/>
    <n v="77"/>
    <n v="81.099999999999994"/>
    <n v="3"/>
    <n v="0"/>
    <n v="68.2"/>
    <n v="66.7"/>
    <n v="63.6"/>
    <n v="36.4"/>
    <n v="49268"/>
    <n v="49350"/>
    <x v="4"/>
    <n v="99"/>
  </r>
  <r>
    <d v="2023-04-03T00:00:00"/>
    <s v="Goodison Park"/>
    <n v="39294"/>
    <s v="Everton"/>
    <n v="1"/>
    <s v="Tottenham Hotspur"/>
    <n v="1"/>
    <n v="39.299999999999997"/>
    <n v="60.7"/>
    <n v="15"/>
    <n v="8"/>
    <n v="6"/>
    <n v="2"/>
    <n v="5"/>
    <n v="5"/>
    <n v="4"/>
    <n v="1"/>
    <n v="80.400000000000006"/>
    <n v="84.2"/>
    <n v="1"/>
    <n v="1"/>
    <n v="65.2"/>
    <n v="57.1"/>
    <n v="46.4"/>
    <n v="53.6"/>
    <n v="36294"/>
    <n v="36572"/>
    <x v="4"/>
    <n v="99"/>
  </r>
  <r>
    <d v="2023-04-04T00:00:00"/>
    <s v="Vitality Stadium"/>
    <n v="10266"/>
    <s v="Bournemouth"/>
    <n v="0"/>
    <s v="Brighton and Hove Albion"/>
    <n v="2"/>
    <n v="36.700000000000003"/>
    <n v="63.3"/>
    <n v="14"/>
    <n v="16"/>
    <n v="3"/>
    <n v="6"/>
    <n v="6"/>
    <n v="9"/>
    <n v="5"/>
    <n v="1"/>
    <n v="78.2"/>
    <n v="87.1"/>
    <n v="1"/>
    <n v="3"/>
    <n v="44.4"/>
    <n v="52.9"/>
    <n v="46.2"/>
    <n v="53.8"/>
    <n v="7266"/>
    <n v="9879"/>
    <x v="11"/>
    <n v="73"/>
  </r>
  <r>
    <d v="2023-04-04T00:00:00"/>
    <s v="Elland Road"/>
    <n v="36740"/>
    <s v="Leeds United"/>
    <n v="2"/>
    <s v="Nottingham Forest"/>
    <n v="1"/>
    <n v="62.4"/>
    <n v="37.6"/>
    <n v="21"/>
    <n v="13"/>
    <n v="6"/>
    <n v="1"/>
    <n v="6"/>
    <n v="4"/>
    <n v="9"/>
    <n v="8"/>
    <n v="81.2"/>
    <n v="66.900000000000006"/>
    <n v="1"/>
    <n v="0"/>
    <n v="60"/>
    <n v="27.8"/>
    <n v="60.5"/>
    <n v="39.5"/>
    <n v="33740"/>
    <n v="35220"/>
    <x v="9"/>
    <n v="95"/>
  </r>
  <r>
    <d v="2023-04-04T00:00:00"/>
    <s v="The King Power Stadium"/>
    <n v="32087"/>
    <s v="Leicester City"/>
    <n v="1"/>
    <s v="Aston Villa"/>
    <n v="2"/>
    <n v="35.9"/>
    <n v="64.099999999999994"/>
    <n v="9"/>
    <n v="15"/>
    <n v="4"/>
    <n v="5"/>
    <n v="4"/>
    <n v="5"/>
    <n v="1"/>
    <n v="5"/>
    <n v="74.5"/>
    <n v="88.2"/>
    <n v="2"/>
    <n v="1"/>
    <n v="68.400000000000006"/>
    <n v="42.9"/>
    <n v="37.5"/>
    <n v="62.5"/>
    <n v="29087"/>
    <n v="29261"/>
    <x v="4"/>
    <n v="99"/>
  </r>
  <r>
    <d v="2023-04-04T00:00:00"/>
    <s v="Stamford Bridge"/>
    <n v="40093"/>
    <s v="Chelsea"/>
    <n v="0"/>
    <s v="Liverpool"/>
    <n v="0"/>
    <n v="49.6"/>
    <n v="50.4"/>
    <n v="12"/>
    <n v="7"/>
    <n v="3"/>
    <n v="4"/>
    <n v="7"/>
    <n v="0"/>
    <n v="2"/>
    <n v="3"/>
    <n v="83.7"/>
    <n v="83.6"/>
    <n v="3"/>
    <n v="0"/>
    <n v="75"/>
    <n v="53.8"/>
    <n v="44.4"/>
    <n v="55.6"/>
    <n v="37093"/>
    <n v="37343"/>
    <x v="4"/>
    <n v="99"/>
  </r>
  <r>
    <d v="2023-04-05T00:00:00"/>
    <s v="London Stadium"/>
    <n v="62470"/>
    <s v="West Ham United"/>
    <n v="1"/>
    <s v="Newcastle United"/>
    <n v="5"/>
    <n v="42"/>
    <n v="58"/>
    <n v="7"/>
    <n v="15"/>
    <n v="2"/>
    <n v="8"/>
    <n v="3"/>
    <n v="5"/>
    <n v="2"/>
    <n v="2"/>
    <n v="73.599999999999994"/>
    <n v="80.7"/>
    <n v="1"/>
    <n v="4"/>
    <n v="38.5"/>
    <n v="58.3"/>
    <n v="38.700000000000003"/>
    <n v="61.3"/>
    <n v="59470"/>
    <n v="65013"/>
    <x v="5"/>
    <n v="91"/>
  </r>
  <r>
    <d v="2023-04-05T00:00:00"/>
    <s v="Old Trafford"/>
    <n v="73309"/>
    <s v="Manchester United"/>
    <n v="1"/>
    <s v="Brentford"/>
    <n v="0"/>
    <n v="64.7"/>
    <n v="35.299999999999997"/>
    <n v="18"/>
    <n v="6"/>
    <n v="3"/>
    <n v="1"/>
    <n v="8"/>
    <n v="4"/>
    <n v="7"/>
    <n v="1"/>
    <n v="85.7"/>
    <n v="76.099999999999994"/>
    <n v="1"/>
    <n v="1"/>
    <n v="73.3"/>
    <n v="72.2"/>
    <n v="57.5"/>
    <n v="42.5"/>
    <n v="70309"/>
    <n v="71310"/>
    <x v="3"/>
    <n v="98"/>
  </r>
  <r>
    <d v="2023-04-08T00:00:00"/>
    <s v="Craven Cottage"/>
    <n v="24491"/>
    <s v="Fulham"/>
    <n v="0"/>
    <s v="West Ham United"/>
    <n v="1"/>
    <n v="76.599999999999994"/>
    <n v="23.4"/>
    <n v="16"/>
    <n v="9"/>
    <n v="3"/>
    <n v="5"/>
    <n v="2"/>
    <n v="4"/>
    <n v="11"/>
    <n v="0"/>
    <n v="88.2"/>
    <n v="62.2"/>
    <n v="1"/>
    <n v="1"/>
    <n v="52.9"/>
    <n v="35.299999999999997"/>
    <n v="38.5"/>
    <n v="61.5"/>
    <n v="21491"/>
    <n v="25700"/>
    <x v="22"/>
    <n v="83"/>
  </r>
  <r>
    <d v="2023-04-08T00:00:00"/>
    <s v="Gtech Community Stadium"/>
    <n v="17107"/>
    <s v="Brentford"/>
    <n v="1"/>
    <s v="Newcastle United"/>
    <n v="2"/>
    <n v="41"/>
    <n v="59"/>
    <n v="12"/>
    <n v="10"/>
    <n v="6"/>
    <n v="4"/>
    <n v="4"/>
    <n v="4"/>
    <n v="2"/>
    <n v="2"/>
    <n v="75.5"/>
    <n v="82.6"/>
    <n v="0"/>
    <n v="1"/>
    <n v="87.5"/>
    <n v="52.6"/>
    <n v="53.3"/>
    <n v="46.7"/>
    <n v="14107"/>
    <n v="15250"/>
    <x v="6"/>
    <n v="92"/>
  </r>
  <r>
    <d v="2023-04-08T00:00:00"/>
    <s v="St. Mary's Stadium"/>
    <n v="30963"/>
    <s v="Southampton"/>
    <n v="1"/>
    <s v="Manchester City"/>
    <n v="4"/>
    <n v="27.2"/>
    <n v="72.8"/>
    <n v="4"/>
    <n v="13"/>
    <n v="1"/>
    <n v="8"/>
    <n v="2"/>
    <n v="2"/>
    <n v="1"/>
    <n v="3"/>
    <n v="75.3"/>
    <n v="89.2"/>
    <n v="1"/>
    <n v="3"/>
    <n v="81.8"/>
    <n v="77.8"/>
    <n v="35"/>
    <n v="65"/>
    <n v="27963"/>
    <n v="29384"/>
    <x v="9"/>
    <n v="95"/>
  </r>
  <r>
    <d v="2023-04-08T00:00:00"/>
    <s v="Tottenham Hotspur Stadium"/>
    <n v="61405"/>
    <s v="Tottenham Hotspur"/>
    <n v="2"/>
    <s v="Brighton and Hove Albion"/>
    <n v="1"/>
    <n v="35.200000000000003"/>
    <n v="64.8"/>
    <n v="9"/>
    <n v="17"/>
    <n v="3"/>
    <n v="4"/>
    <n v="4"/>
    <n v="5"/>
    <n v="2"/>
    <n v="8"/>
    <n v="77.3"/>
    <n v="87.1"/>
    <n v="0"/>
    <n v="2"/>
    <n v="58.8"/>
    <n v="44.4"/>
    <n v="33.299999999999997"/>
    <n v="66.7"/>
    <n v="58405"/>
    <n v="59850"/>
    <x v="14"/>
    <n v="97"/>
  </r>
  <r>
    <d v="2023-04-08T00:00:00"/>
    <s v="Old Trafford"/>
    <n v="73509"/>
    <s v="Manchester United"/>
    <n v="2"/>
    <s v="Everton"/>
    <n v="0"/>
    <n v="63.8"/>
    <n v="36.200000000000003"/>
    <n v="29"/>
    <n v="15"/>
    <n v="11"/>
    <n v="1"/>
    <n v="10"/>
    <n v="6"/>
    <n v="8"/>
    <n v="8"/>
    <n v="87.1"/>
    <n v="71.3"/>
    <n v="5"/>
    <n v="1"/>
    <n v="60"/>
    <n v="66.7"/>
    <n v="50"/>
    <n v="50"/>
    <n v="70509"/>
    <n v="71310"/>
    <x v="3"/>
    <n v="98"/>
  </r>
  <r>
    <d v="2023-04-08T00:00:00"/>
    <s v="Molineux"/>
    <n v="31614"/>
    <s v="Wolverhampton Wanderers"/>
    <n v="1"/>
    <s v="Chelsea"/>
    <n v="0"/>
    <n v="37.6"/>
    <n v="62.4"/>
    <n v="9"/>
    <n v="13"/>
    <n v="4"/>
    <n v="1"/>
    <n v="3"/>
    <n v="4"/>
    <n v="2"/>
    <n v="8"/>
    <n v="74.5"/>
    <n v="83.6"/>
    <n v="0"/>
    <n v="0"/>
    <n v="59.1"/>
    <n v="55.6"/>
    <n v="36"/>
    <n v="64"/>
    <n v="28614"/>
    <n v="29050"/>
    <x v="3"/>
    <n v="98"/>
  </r>
  <r>
    <d v="2023-04-08T00:00:00"/>
    <s v="The King Power Stadium"/>
    <n v="32094"/>
    <s v="Leicester City"/>
    <n v="0"/>
    <s v="Bournemouth"/>
    <n v="1"/>
    <n v="50.8"/>
    <n v="49.2"/>
    <n v="14"/>
    <n v="19"/>
    <n v="4"/>
    <n v="7"/>
    <n v="8"/>
    <n v="2"/>
    <n v="2"/>
    <n v="10"/>
    <n v="75.400000000000006"/>
    <n v="78.7"/>
    <n v="1"/>
    <n v="1"/>
    <n v="42.1"/>
    <n v="62.5"/>
    <n v="47.4"/>
    <n v="52.6"/>
    <n v="29094"/>
    <n v="29261"/>
    <x v="4"/>
    <n v="99"/>
  </r>
  <r>
    <d v="2023-04-08T00:00:00"/>
    <s v="Villa Park"/>
    <n v="42076"/>
    <s v="Aston Villa"/>
    <n v="2"/>
    <s v="Nottingham Forest"/>
    <n v="0"/>
    <n v="65.3"/>
    <n v="34.700000000000003"/>
    <n v="8"/>
    <n v="6"/>
    <n v="3"/>
    <n v="2"/>
    <n v="4"/>
    <n v="1"/>
    <n v="1"/>
    <n v="3"/>
    <n v="85.7"/>
    <n v="65.599999999999994"/>
    <n v="1"/>
    <n v="0"/>
    <n v="66.7"/>
    <n v="64.7"/>
    <n v="44"/>
    <n v="56"/>
    <n v="39076"/>
    <n v="39000"/>
    <x v="8"/>
    <n v="100"/>
  </r>
  <r>
    <d v="2023-04-09T00:00:00"/>
    <s v="Anfield"/>
    <n v="53267"/>
    <s v="Liverpool"/>
    <n v="2"/>
    <s v="Arsenal"/>
    <n v="2"/>
    <n v="59"/>
    <n v="41"/>
    <n v="21"/>
    <n v="9"/>
    <n v="6"/>
    <n v="5"/>
    <n v="10"/>
    <n v="2"/>
    <n v="5"/>
    <n v="2"/>
    <n v="82.3"/>
    <n v="76.599999999999994"/>
    <n v="6"/>
    <n v="2"/>
    <n v="54.5"/>
    <n v="52.4"/>
    <n v="51.9"/>
    <n v="48.1"/>
    <n v="50267"/>
    <n v="58000"/>
    <x v="10"/>
    <n v="86"/>
  </r>
  <r>
    <d v="2023-04-09T00:00:00"/>
    <s v="Elland Road"/>
    <n v="36427"/>
    <s v="Leeds United"/>
    <n v="1"/>
    <s v="Crystal Palace"/>
    <n v="5"/>
    <n v="48"/>
    <n v="52"/>
    <n v="11"/>
    <n v="16"/>
    <n v="7"/>
    <n v="8"/>
    <n v="4"/>
    <n v="4"/>
    <n v="0"/>
    <n v="4"/>
    <n v="75.7"/>
    <n v="74.5"/>
    <n v="1"/>
    <n v="5"/>
    <n v="55.9"/>
    <n v="72.7"/>
    <n v="41"/>
    <n v="59"/>
    <n v="33427"/>
    <n v="35220"/>
    <x v="0"/>
    <n v="94"/>
  </r>
  <r>
    <d v="2023-04-15T00:00:00"/>
    <s v="St. Mary's Stadium"/>
    <n v="30309"/>
    <s v="Southampton"/>
    <n v="0"/>
    <s v="Crystal Palace"/>
    <n v="2"/>
    <n v="58.2"/>
    <n v="41.8"/>
    <n v="11"/>
    <n v="10"/>
    <n v="4"/>
    <n v="2"/>
    <n v="4"/>
    <n v="4"/>
    <n v="3"/>
    <n v="4"/>
    <n v="84.2"/>
    <n v="75.7"/>
    <n v="1"/>
    <n v="0"/>
    <n v="46.7"/>
    <n v="77.3"/>
    <n v="58.8"/>
    <n v="41.2"/>
    <n v="27309"/>
    <n v="29384"/>
    <x v="6"/>
    <n v="92"/>
  </r>
  <r>
    <d v="2023-04-15T00:00:00"/>
    <s v="Molineux"/>
    <n v="30769"/>
    <s v="Wolverhampton Wanderers"/>
    <n v="2"/>
    <s v="Brentford"/>
    <n v="0"/>
    <n v="50.6"/>
    <n v="49.4"/>
    <n v="11"/>
    <n v="10"/>
    <n v="9"/>
    <n v="3"/>
    <n v="0"/>
    <n v="3"/>
    <n v="2"/>
    <n v="4"/>
    <n v="79.5"/>
    <n v="80.7"/>
    <n v="0"/>
    <n v="0"/>
    <n v="52.4"/>
    <n v="47.8"/>
    <n v="35.5"/>
    <n v="64.5"/>
    <n v="27769"/>
    <n v="29050"/>
    <x v="9"/>
    <n v="95"/>
  </r>
  <r>
    <d v="2023-04-15T00:00:00"/>
    <s v="Tottenham Hotspur Stadium"/>
    <n v="61369"/>
    <s v="Tottenham Hotspur"/>
    <n v="2"/>
    <s v="Bournemouth"/>
    <n v="3"/>
    <n v="57.4"/>
    <n v="42.6"/>
    <n v="24"/>
    <n v="9"/>
    <n v="8"/>
    <n v="6"/>
    <n v="8"/>
    <n v="2"/>
    <n v="8"/>
    <n v="1"/>
    <n v="81.400000000000006"/>
    <n v="76.3"/>
    <n v="3"/>
    <n v="2"/>
    <n v="64.7"/>
    <n v="70.599999999999994"/>
    <n v="67.7"/>
    <n v="32.299999999999997"/>
    <n v="58369"/>
    <n v="59850"/>
    <x v="14"/>
    <n v="97"/>
  </r>
  <r>
    <d v="2023-04-15T00:00:00"/>
    <s v="Stamford Bridge"/>
    <n v="40126"/>
    <s v="Chelsea"/>
    <n v="1"/>
    <s v="Brighton and Hove Albion"/>
    <n v="2"/>
    <n v="42.6"/>
    <n v="57.4"/>
    <n v="8"/>
    <n v="26"/>
    <n v="2"/>
    <n v="10"/>
    <n v="5"/>
    <n v="10"/>
    <n v="1"/>
    <n v="6"/>
    <n v="81.400000000000006"/>
    <n v="85.6"/>
    <n v="0"/>
    <n v="1"/>
    <n v="72.2"/>
    <n v="54.2"/>
    <n v="52.9"/>
    <n v="47.1"/>
    <n v="37126"/>
    <n v="37343"/>
    <x v="4"/>
    <n v="99"/>
  </r>
  <r>
    <d v="2023-04-15T00:00:00"/>
    <s v="Goodison Park"/>
    <n v="39241"/>
    <s v="Everton"/>
    <n v="1"/>
    <s v="Fulham"/>
    <n v="3"/>
    <n v="46.5"/>
    <n v="53.5"/>
    <n v="15"/>
    <n v="21"/>
    <n v="7"/>
    <n v="7"/>
    <n v="6"/>
    <n v="9"/>
    <n v="2"/>
    <n v="5"/>
    <n v="74"/>
    <n v="75.2"/>
    <n v="3"/>
    <n v="2"/>
    <n v="71.400000000000006"/>
    <n v="64.7"/>
    <n v="50"/>
    <n v="50"/>
    <n v="36241"/>
    <n v="36572"/>
    <x v="4"/>
    <n v="99"/>
  </r>
  <r>
    <d v="2023-04-15T00:00:00"/>
    <s v="Etihad Stadium"/>
    <n v="53329"/>
    <s v="Manchester City"/>
    <n v="3"/>
    <s v="Leicester City"/>
    <n v="1"/>
    <n v="70.599999999999994"/>
    <n v="29.4"/>
    <n v="12"/>
    <n v="11"/>
    <n v="4"/>
    <n v="4"/>
    <n v="5"/>
    <n v="4"/>
    <n v="3"/>
    <n v="3"/>
    <n v="92.2"/>
    <n v="80.099999999999994"/>
    <n v="1"/>
    <n v="1"/>
    <n v="54.5"/>
    <n v="70"/>
    <n v="31.8"/>
    <n v="68.2"/>
    <n v="50329"/>
    <n v="50400"/>
    <x v="4"/>
    <n v="99"/>
  </r>
  <r>
    <d v="2023-04-15T00:00:00"/>
    <s v="Villa Park"/>
    <n v="42055"/>
    <s v="Aston Villa"/>
    <n v="3"/>
    <s v="Newcastle United"/>
    <n v="0"/>
    <n v="52"/>
    <n v="48"/>
    <n v="16"/>
    <n v="8"/>
    <n v="6"/>
    <n v="2"/>
    <n v="6"/>
    <n v="3"/>
    <n v="4"/>
    <n v="3"/>
    <n v="78.2"/>
    <n v="78.2"/>
    <n v="3"/>
    <n v="1"/>
    <n v="61.1"/>
    <n v="61.1"/>
    <n v="42.1"/>
    <n v="57.9"/>
    <n v="39055"/>
    <n v="39000"/>
    <x v="8"/>
    <n v="100"/>
  </r>
  <r>
    <d v="2023-04-16T00:00:00"/>
    <s v="London Stadium"/>
    <n v="62475"/>
    <s v="West Ham United"/>
    <n v="2"/>
    <s v="Arsenal"/>
    <n v="2"/>
    <n v="28.5"/>
    <n v="71.5"/>
    <n v="16"/>
    <n v="11"/>
    <n v="3"/>
    <n v="5"/>
    <n v="6"/>
    <n v="4"/>
    <n v="7"/>
    <n v="2"/>
    <n v="69"/>
    <n v="87"/>
    <n v="2"/>
    <n v="2"/>
    <n v="47.1"/>
    <n v="69.2"/>
    <n v="54.8"/>
    <n v="45.2"/>
    <n v="59475"/>
    <n v="65013"/>
    <x v="5"/>
    <n v="91"/>
  </r>
  <r>
    <d v="2023-04-16T00:00:00"/>
    <s v="The City Ground"/>
    <n v="29435"/>
    <s v="Nottingham Forest"/>
    <n v="0"/>
    <s v="Manchester United"/>
    <n v="2"/>
    <n v="31.8"/>
    <n v="68.2"/>
    <n v="6"/>
    <n v="22"/>
    <n v="0"/>
    <n v="8"/>
    <n v="4"/>
    <n v="9"/>
    <n v="2"/>
    <n v="5"/>
    <n v="65.099999999999994"/>
    <n v="82.9"/>
    <n v="2"/>
    <n v="4"/>
    <n v="55"/>
    <n v="83.3"/>
    <n v="46.4"/>
    <n v="53.6"/>
    <n v="26435"/>
    <n v="27445"/>
    <x v="7"/>
    <n v="96"/>
  </r>
  <r>
    <d v="2023-04-17T00:00:00"/>
    <s v="Elland Road"/>
    <n v="36657"/>
    <s v="Leeds United"/>
    <n v="1"/>
    <s v="Liverpool"/>
    <n v="6"/>
    <n v="26.4"/>
    <n v="73.599999999999994"/>
    <n v="13"/>
    <n v="13"/>
    <n v="3"/>
    <n v="7"/>
    <n v="7"/>
    <n v="4"/>
    <n v="3"/>
    <n v="2"/>
    <n v="68.900000000000006"/>
    <n v="89.1"/>
    <n v="1"/>
    <n v="4"/>
    <n v="53.8"/>
    <n v="47.6"/>
    <n v="52.6"/>
    <n v="47.4"/>
    <n v="33657"/>
    <n v="35220"/>
    <x v="9"/>
    <n v="95"/>
  </r>
  <r>
    <d v="2023-04-21T00:00:00"/>
    <s v="Emirates Stadium"/>
    <n v="60175"/>
    <s v="Arsenal"/>
    <n v="3"/>
    <s v="Southampton"/>
    <n v="3"/>
    <n v="74.2"/>
    <n v="25.8"/>
    <n v="25"/>
    <n v="8"/>
    <n v="6"/>
    <n v="6"/>
    <n v="11"/>
    <n v="1"/>
    <n v="8"/>
    <n v="1"/>
    <n v="86.1"/>
    <n v="64.599999999999994"/>
    <n v="2"/>
    <n v="2"/>
    <n v="58.8"/>
    <n v="68.2"/>
    <n v="57.7"/>
    <n v="42.3"/>
    <n v="57175"/>
    <n v="57704"/>
    <x v="4"/>
    <n v="99"/>
  </r>
  <r>
    <d v="2023-04-22T00:00:00"/>
    <s v="Craven Cottage"/>
    <n v="24356"/>
    <s v="Fulham"/>
    <n v="2"/>
    <s v="Leeds United"/>
    <n v="1"/>
    <n v="49.3"/>
    <n v="50.7"/>
    <n v="12"/>
    <n v="10"/>
    <n v="5"/>
    <n v="2"/>
    <n v="3"/>
    <n v="4"/>
    <n v="4"/>
    <n v="4"/>
    <n v="74.900000000000006"/>
    <n v="72.400000000000006"/>
    <n v="0"/>
    <n v="0"/>
    <n v="57.9"/>
    <n v="50"/>
    <n v="42.1"/>
    <n v="57.9"/>
    <n v="21356"/>
    <n v="25700"/>
    <x v="22"/>
    <n v="83"/>
  </r>
  <r>
    <d v="2023-04-22T00:00:00"/>
    <s v="Gtech Community Stadium"/>
    <n v="17098"/>
    <s v="Brentford"/>
    <n v="1"/>
    <s v="Aston Villa"/>
    <n v="1"/>
    <n v="42.5"/>
    <n v="57.5"/>
    <n v="16"/>
    <n v="14"/>
    <n v="5"/>
    <n v="2"/>
    <n v="6"/>
    <n v="11"/>
    <n v="5"/>
    <n v="1"/>
    <n v="68.2"/>
    <n v="78.900000000000006"/>
    <n v="3"/>
    <n v="3"/>
    <n v="37.5"/>
    <n v="33.299999999999997"/>
    <n v="58.1"/>
    <n v="41.9"/>
    <n v="14098"/>
    <n v="15250"/>
    <x v="6"/>
    <n v="92"/>
  </r>
  <r>
    <d v="2023-04-22T00:00:00"/>
    <s v="Selhurst Park"/>
    <n v="25202"/>
    <s v="Crystal Palace"/>
    <n v="0"/>
    <s v="Everton"/>
    <n v="0"/>
    <n v="56.9"/>
    <n v="43.1"/>
    <n v="12"/>
    <n v="10"/>
    <n v="2"/>
    <n v="5"/>
    <n v="5"/>
    <n v="3"/>
    <n v="5"/>
    <n v="2"/>
    <n v="74.599999999999994"/>
    <n v="67.3"/>
    <n v="0"/>
    <n v="0"/>
    <n v="73.3"/>
    <n v="64.3"/>
    <n v="41.9"/>
    <n v="58.1"/>
    <n v="22202"/>
    <n v="23486"/>
    <x v="0"/>
    <n v="94"/>
  </r>
  <r>
    <d v="2023-04-22T00:00:00"/>
    <s v="The King Power Stadium"/>
    <n v="32053"/>
    <s v="Leicester City"/>
    <n v="2"/>
    <s v="Wolverhampton Wanderers"/>
    <n v="1"/>
    <n v="41.8"/>
    <n v="58.2"/>
    <n v="15"/>
    <n v="16"/>
    <n v="8"/>
    <n v="3"/>
    <n v="4"/>
    <n v="7"/>
    <n v="3"/>
    <n v="6"/>
    <n v="74.2"/>
    <n v="81.7"/>
    <n v="1"/>
    <n v="0"/>
    <n v="54.5"/>
    <n v="66.7"/>
    <n v="55.3"/>
    <n v="44.7"/>
    <n v="29053"/>
    <n v="29261"/>
    <x v="4"/>
    <n v="99"/>
  </r>
  <r>
    <d v="2023-04-23T00:00:00"/>
    <s v="Vitality Stadium"/>
    <n v="10465"/>
    <s v="Bournemouth"/>
    <n v="0"/>
    <s v="West Ham United"/>
    <n v="4"/>
    <n v="64.599999999999994"/>
    <n v="35.4"/>
    <n v="17"/>
    <n v="18"/>
    <n v="5"/>
    <n v="10"/>
    <n v="7"/>
    <n v="4"/>
    <n v="5"/>
    <n v="4"/>
    <n v="87.1"/>
    <n v="77.7"/>
    <n v="1"/>
    <n v="3"/>
    <n v="63.6"/>
    <n v="52.9"/>
    <n v="48.4"/>
    <n v="51.6"/>
    <n v="7465"/>
    <n v="9879"/>
    <x v="12"/>
    <n v="75"/>
  </r>
  <r>
    <d v="2023-04-23T00:00:00"/>
    <s v="St James' Park, Newcastle"/>
    <n v="52252"/>
    <s v="Newcastle United"/>
    <n v="6"/>
    <s v="Tottenham Hotspur"/>
    <n v="1"/>
    <n v="57"/>
    <n v="43"/>
    <n v="25"/>
    <n v="11"/>
    <n v="8"/>
    <n v="3"/>
    <n v="5"/>
    <n v="5"/>
    <n v="12"/>
    <n v="3"/>
    <n v="86.4"/>
    <n v="79.099999999999994"/>
    <n v="5"/>
    <n v="1"/>
    <n v="53.8"/>
    <n v="64.7"/>
    <n v="71.400000000000006"/>
    <n v="28.6"/>
    <n v="49252"/>
    <n v="49350"/>
    <x v="4"/>
    <n v="99"/>
  </r>
  <r>
    <d v="2023-04-25T00:00:00"/>
    <s v="Molineux"/>
    <n v="30792"/>
    <s v="Wolverhampton Wanderers"/>
    <n v="2"/>
    <s v="Crystal Palace"/>
    <n v="0"/>
    <n v="41.2"/>
    <n v="58.8"/>
    <n v="9"/>
    <n v="14"/>
    <n v="3"/>
    <n v="4"/>
    <n v="4"/>
    <n v="4"/>
    <n v="2"/>
    <n v="6"/>
    <n v="73.8"/>
    <n v="81.599999999999994"/>
    <n v="0"/>
    <n v="0"/>
    <n v="38.1"/>
    <n v="54.5"/>
    <n v="55.9"/>
    <n v="44.1"/>
    <n v="27792"/>
    <n v="29050"/>
    <x v="9"/>
    <n v="95"/>
  </r>
  <r>
    <d v="2023-04-25T00:00:00"/>
    <s v="Elland Road"/>
    <n v="36666"/>
    <s v="Leeds United"/>
    <n v="1"/>
    <s v="Leicester City"/>
    <n v="1"/>
    <n v="40.799999999999997"/>
    <n v="59.2"/>
    <n v="13"/>
    <n v="15"/>
    <n v="3"/>
    <n v="3"/>
    <n v="6"/>
    <n v="6"/>
    <n v="4"/>
    <n v="6"/>
    <n v="64.2"/>
    <n v="73"/>
    <n v="3"/>
    <n v="3"/>
    <n v="50"/>
    <n v="61.9"/>
    <n v="47.1"/>
    <n v="52.9"/>
    <n v="33666"/>
    <n v="35220"/>
    <x v="9"/>
    <n v="95"/>
  </r>
  <r>
    <d v="2023-04-25T00:00:00"/>
    <s v="Villa Park"/>
    <n v="41046"/>
    <s v="Aston Villa"/>
    <n v="1"/>
    <s v="Fulham"/>
    <n v="0"/>
    <n v="51.8"/>
    <n v="48.2"/>
    <n v="14"/>
    <n v="1"/>
    <n v="3"/>
    <n v="0"/>
    <n v="4"/>
    <n v="1"/>
    <n v="7"/>
    <n v="0"/>
    <n v="83.7"/>
    <n v="81.3"/>
    <n v="0"/>
    <n v="0"/>
    <n v="63.6"/>
    <n v="38.1"/>
    <n v="65.2"/>
    <n v="34.799999999999997"/>
    <n v="38046"/>
    <n v="39000"/>
    <x v="14"/>
    <n v="97"/>
  </r>
  <r>
    <d v="2023-04-26T00:00:00"/>
    <s v="London Stadium"/>
    <n v="62473"/>
    <s v="West Ham United"/>
    <n v="1"/>
    <s v="Liverpool"/>
    <n v="2"/>
    <n v="27.4"/>
    <n v="72.599999999999994"/>
    <n v="7"/>
    <n v="20"/>
    <n v="2"/>
    <n v="4"/>
    <n v="4"/>
    <n v="9"/>
    <n v="1"/>
    <n v="7"/>
    <n v="69.8"/>
    <n v="87.4"/>
    <n v="0"/>
    <n v="3"/>
    <n v="84.6"/>
    <n v="55"/>
    <n v="36.4"/>
    <n v="63.6"/>
    <n v="59473"/>
    <n v="65013"/>
    <x v="5"/>
    <n v="91"/>
  </r>
  <r>
    <d v="2023-04-26T00:00:00"/>
    <s v="The City Ground"/>
    <n v="28808"/>
    <s v="Nottingham Forest"/>
    <n v="3"/>
    <s v="Brighton and Hove Albion"/>
    <n v="1"/>
    <n v="24.8"/>
    <n v="75.2"/>
    <n v="12"/>
    <n v="17"/>
    <n v="5"/>
    <n v="7"/>
    <n v="5"/>
    <n v="6"/>
    <n v="2"/>
    <n v="4"/>
    <n v="66.8"/>
    <n v="86.5"/>
    <n v="1"/>
    <n v="2"/>
    <n v="61.1"/>
    <n v="64.3"/>
    <n v="47.4"/>
    <n v="52.6"/>
    <n v="25808"/>
    <n v="27445"/>
    <x v="0"/>
    <n v="94"/>
  </r>
  <r>
    <d v="2023-04-26T00:00:00"/>
    <s v="Stamford Bridge"/>
    <n v="39929"/>
    <s v="Chelsea"/>
    <n v="0"/>
    <s v="Brentford"/>
    <n v="2"/>
    <n v="72.900000000000006"/>
    <n v="27.1"/>
    <n v="15"/>
    <n v="7"/>
    <n v="4"/>
    <n v="1"/>
    <n v="8"/>
    <n v="5"/>
    <n v="3"/>
    <n v="1"/>
    <n v="88.2"/>
    <n v="65.8"/>
    <n v="1"/>
    <n v="0"/>
    <n v="50"/>
    <n v="46.2"/>
    <n v="55.9"/>
    <n v="44.1"/>
    <n v="36929"/>
    <n v="37343"/>
    <x v="3"/>
    <n v="98"/>
  </r>
  <r>
    <d v="2023-04-26T00:00:00"/>
    <s v="Etihad Stadium"/>
    <n v="53482"/>
    <s v="Manchester City"/>
    <n v="4"/>
    <s v="Arsenal"/>
    <n v="1"/>
    <n v="51.9"/>
    <n v="48.1"/>
    <n v="14"/>
    <n v="8"/>
    <n v="9"/>
    <n v="2"/>
    <n v="3"/>
    <n v="3"/>
    <n v="2"/>
    <n v="3"/>
    <n v="85.1"/>
    <n v="84.7"/>
    <n v="4"/>
    <n v="0"/>
    <n v="72.7"/>
    <n v="40"/>
    <n v="55.6"/>
    <n v="44.4"/>
    <n v="50482"/>
    <n v="50400"/>
    <x v="8"/>
    <n v="100"/>
  </r>
  <r>
    <d v="2023-04-27T00:00:00"/>
    <s v="St. Mary's Stadium"/>
    <n v="30414"/>
    <s v="Southampton"/>
    <n v="0"/>
    <s v="Bournemouth"/>
    <n v="1"/>
    <n v="56.5"/>
    <n v="43.5"/>
    <n v="11"/>
    <n v="16"/>
    <n v="2"/>
    <n v="2"/>
    <n v="6"/>
    <n v="4"/>
    <n v="3"/>
    <n v="10"/>
    <n v="82"/>
    <n v="78.400000000000006"/>
    <n v="0"/>
    <n v="0"/>
    <n v="78.900000000000006"/>
    <n v="57.1"/>
    <n v="45.5"/>
    <n v="54.5"/>
    <n v="27414"/>
    <n v="29384"/>
    <x v="16"/>
    <n v="93"/>
  </r>
  <r>
    <d v="2023-04-27T00:00:00"/>
    <s v="Tottenham Hotspur Stadium"/>
    <n v="61586"/>
    <s v="Tottenham Hotspur"/>
    <n v="2"/>
    <s v="Manchester United"/>
    <n v="2"/>
    <n v="39.9"/>
    <n v="60.1"/>
    <n v="18"/>
    <n v="17"/>
    <n v="7"/>
    <n v="8"/>
    <n v="7"/>
    <n v="5"/>
    <n v="4"/>
    <n v="4"/>
    <n v="81.400000000000006"/>
    <n v="86.3"/>
    <n v="4"/>
    <n v="3"/>
    <n v="68.400000000000006"/>
    <n v="81.3"/>
    <n v="52.2"/>
    <n v="47.8"/>
    <n v="58586"/>
    <n v="59850"/>
    <x v="14"/>
    <n v="97"/>
  </r>
  <r>
    <d v="2023-04-27T00:00:00"/>
    <s v="Goodison Park"/>
    <n v="39248"/>
    <s v="Everton"/>
    <n v="1"/>
    <s v="Newcastle United"/>
    <n v="4"/>
    <n v="39.6"/>
    <n v="60.4"/>
    <n v="13"/>
    <n v="15"/>
    <n v="5"/>
    <n v="8"/>
    <n v="5"/>
    <n v="3"/>
    <n v="3"/>
    <n v="4"/>
    <n v="65.3"/>
    <n v="74.8"/>
    <n v="0"/>
    <n v="1"/>
    <n v="50"/>
    <n v="50"/>
    <n v="55"/>
    <n v="45"/>
    <n v="36248"/>
    <n v="36572"/>
    <x v="4"/>
    <n v="99"/>
  </r>
  <r>
    <d v="2023-04-29T00:00:00"/>
    <s v="Gtech Community Stadium"/>
    <n v="17080"/>
    <s v="Brentford"/>
    <n v="2"/>
    <s v="Nottingham Forest"/>
    <n v="1"/>
    <n v="68.900000000000006"/>
    <n v="31.1"/>
    <n v="14"/>
    <n v="5"/>
    <n v="8"/>
    <n v="3"/>
    <n v="3"/>
    <n v="1"/>
    <n v="3"/>
    <n v="1"/>
    <n v="84.7"/>
    <n v="68.2"/>
    <n v="0"/>
    <n v="1"/>
    <n v="55.6"/>
    <n v="61.9"/>
    <n v="48.9"/>
    <n v="51.1"/>
    <n v="14080"/>
    <n v="15250"/>
    <x v="6"/>
    <n v="92"/>
  </r>
  <r>
    <d v="2023-04-29T00:00:00"/>
    <s v="Selhurst Park"/>
    <n v="25148"/>
    <s v="Crystal Palace"/>
    <n v="4"/>
    <s v="West Ham United"/>
    <n v="3"/>
    <n v="59.9"/>
    <n v="40.1"/>
    <n v="16"/>
    <n v="8"/>
    <n v="6"/>
    <n v="4"/>
    <n v="4"/>
    <n v="3"/>
    <n v="6"/>
    <n v="1"/>
    <n v="78.7"/>
    <n v="65.599999999999994"/>
    <n v="0"/>
    <n v="1"/>
    <n v="61.9"/>
    <n v="65.2"/>
    <n v="57.4"/>
    <n v="42.6"/>
    <n v="22148"/>
    <n v="23486"/>
    <x v="0"/>
    <n v="94"/>
  </r>
  <r>
    <d v="2023-04-29T00:00:00"/>
    <s v="Amex Stadium"/>
    <n v="31584"/>
    <s v="Brighton and Hove Albion"/>
    <n v="6"/>
    <s v="Wolverhampton Wanderers"/>
    <n v="0"/>
    <n v="57.2"/>
    <n v="42.8"/>
    <n v="22"/>
    <n v="10"/>
    <n v="8"/>
    <n v="2"/>
    <n v="7"/>
    <n v="5"/>
    <n v="7"/>
    <n v="3"/>
    <n v="88.2"/>
    <n v="81.400000000000006"/>
    <n v="4"/>
    <n v="0"/>
    <n v="60"/>
    <n v="56.3"/>
    <n v="90"/>
    <n v="10"/>
    <n v="28584"/>
    <n v="28876"/>
    <x v="3"/>
    <n v="98"/>
  </r>
  <r>
    <d v="2023-04-30T00:00:00"/>
    <s v="Vitality Stadium"/>
    <n v="10434"/>
    <s v="Bournemouth"/>
    <n v="4"/>
    <s v="Leeds United"/>
    <n v="1"/>
    <n v="42.1"/>
    <n v="57.9"/>
    <n v="12"/>
    <n v="15"/>
    <n v="7"/>
    <n v="6"/>
    <n v="2"/>
    <n v="7"/>
    <n v="3"/>
    <n v="2"/>
    <n v="73"/>
    <n v="80.400000000000006"/>
    <n v="2"/>
    <n v="1"/>
    <n v="50"/>
    <n v="42.1"/>
    <n v="34.299999999999997"/>
    <n v="65.7"/>
    <n v="7434"/>
    <n v="9879"/>
    <x v="12"/>
    <n v="75"/>
  </r>
  <r>
    <d v="2023-04-30T00:00:00"/>
    <s v="Craven Cottage"/>
    <n v="24498"/>
    <s v="Fulham"/>
    <n v="1"/>
    <s v="Manchester City"/>
    <n v="2"/>
    <n v="37.4"/>
    <n v="62.6"/>
    <n v="4"/>
    <n v="12"/>
    <n v="1"/>
    <n v="9"/>
    <n v="1"/>
    <n v="3"/>
    <n v="2"/>
    <n v="0"/>
    <n v="81.3"/>
    <n v="87"/>
    <n v="1"/>
    <n v="1"/>
    <n v="63.6"/>
    <n v="71.400000000000006"/>
    <n v="46.9"/>
    <n v="53.1"/>
    <n v="21498"/>
    <n v="25700"/>
    <x v="22"/>
    <n v="83"/>
  </r>
  <r>
    <d v="2023-04-30T00:00:00"/>
    <s v="Anfield"/>
    <n v="53275"/>
    <s v="Liverpool"/>
    <n v="4"/>
    <s v="Tottenham Hotspur"/>
    <n v="3"/>
    <n v="67.599999999999994"/>
    <n v="32.4"/>
    <n v="12"/>
    <n v="10"/>
    <n v="4"/>
    <n v="7"/>
    <n v="4"/>
    <n v="3"/>
    <n v="4"/>
    <n v="0"/>
    <n v="88.3"/>
    <n v="73.7"/>
    <n v="2"/>
    <n v="4"/>
    <n v="68.8"/>
    <n v="62.5"/>
    <n v="74.099999999999994"/>
    <n v="25.9"/>
    <n v="50275"/>
    <n v="58000"/>
    <x v="10"/>
    <n v="86"/>
  </r>
  <r>
    <d v="2023-04-30T00:00:00"/>
    <s v="Old Trafford"/>
    <n v="73592"/>
    <s v="Manchester United"/>
    <n v="1"/>
    <s v="Aston Villa"/>
    <n v="0"/>
    <n v="57.1"/>
    <n v="42.9"/>
    <n v="14"/>
    <n v="7"/>
    <n v="6"/>
    <n v="1"/>
    <n v="6"/>
    <n v="2"/>
    <n v="2"/>
    <n v="4"/>
    <n v="84.9"/>
    <n v="78.099999999999994"/>
    <n v="1"/>
    <n v="0"/>
    <n v="78.599999999999994"/>
    <n v="46.7"/>
    <n v="50"/>
    <n v="50"/>
    <n v="70592"/>
    <n v="71310"/>
    <x v="3"/>
    <n v="98"/>
  </r>
  <r>
    <d v="2023-04-30T00:00:00"/>
    <s v="St James' Park, Newcastle"/>
    <n v="52234"/>
    <s v="Newcastle United"/>
    <n v="3"/>
    <s v="Southampton"/>
    <n v="1"/>
    <n v="63.4"/>
    <n v="36.6"/>
    <n v="22"/>
    <n v="4"/>
    <n v="5"/>
    <n v="3"/>
    <n v="9"/>
    <n v="1"/>
    <n v="8"/>
    <n v="0"/>
    <n v="81.900000000000006"/>
    <n v="69.8"/>
    <n v="3"/>
    <n v="1"/>
    <n v="41.2"/>
    <n v="69.599999999999994"/>
    <n v="75"/>
    <n v="25"/>
    <n v="49234"/>
    <n v="49350"/>
    <x v="4"/>
    <n v="99"/>
  </r>
  <r>
    <d v="2023-05-01T00:00:00"/>
    <s v="The King Power Stadium"/>
    <n v="32173"/>
    <s v="Leicester City"/>
    <n v="2"/>
    <s v="Everton"/>
    <n v="2"/>
    <n v="55.3"/>
    <n v="44.7"/>
    <n v="15"/>
    <n v="23"/>
    <n v="6"/>
    <n v="8"/>
    <n v="4"/>
    <n v="9"/>
    <n v="5"/>
    <n v="6"/>
    <n v="74.099999999999994"/>
    <n v="72.099999999999994"/>
    <n v="3"/>
    <n v="1"/>
    <n v="52.6"/>
    <n v="60"/>
    <n v="47.6"/>
    <n v="52.4"/>
    <n v="29173"/>
    <n v="29261"/>
    <x v="4"/>
    <n v="99"/>
  </r>
  <r>
    <d v="2023-05-02T00:00:00"/>
    <s v="Emirates Stadium"/>
    <n v="60144"/>
    <s v="Arsenal"/>
    <n v="3"/>
    <s v="Chelsea"/>
    <n v="1"/>
    <n v="54.8"/>
    <n v="45.2"/>
    <n v="16"/>
    <n v="7"/>
    <n v="10"/>
    <n v="4"/>
    <n v="3"/>
    <n v="1"/>
    <n v="3"/>
    <n v="2"/>
    <n v="86.6"/>
    <n v="84.2"/>
    <n v="1"/>
    <n v="2"/>
    <n v="33.299999999999997"/>
    <n v="73.3"/>
    <n v="37.5"/>
    <n v="62.5"/>
    <n v="57144"/>
    <n v="57704"/>
    <x v="4"/>
    <n v="99"/>
  </r>
  <r>
    <d v="2023-05-03T00:00:00"/>
    <s v="Anfield"/>
    <n v="52602"/>
    <s v="Liverpool"/>
    <n v="1"/>
    <s v="Fulham"/>
    <n v="0"/>
    <n v="57.1"/>
    <n v="42.9"/>
    <n v="15"/>
    <n v="9"/>
    <n v="3"/>
    <n v="3"/>
    <n v="9"/>
    <n v="3"/>
    <n v="3"/>
    <n v="3"/>
    <n v="85.2"/>
    <n v="83.9"/>
    <n v="1"/>
    <n v="1"/>
    <n v="57.1"/>
    <n v="53.3"/>
    <n v="66.7"/>
    <n v="33.299999999999997"/>
    <n v="49602"/>
    <n v="58000"/>
    <x v="2"/>
    <n v="85"/>
  </r>
  <r>
    <d v="2023-05-03T00:00:00"/>
    <s v="Etihad Stadium"/>
    <n v="53305"/>
    <s v="Manchester City"/>
    <n v="3"/>
    <s v="West Ham United"/>
    <n v="0"/>
    <n v="68.900000000000006"/>
    <n v="31.1"/>
    <n v="16"/>
    <n v="6"/>
    <n v="7"/>
    <n v="2"/>
    <n v="7"/>
    <n v="3"/>
    <n v="2"/>
    <n v="1"/>
    <n v="90.7"/>
    <n v="78"/>
    <n v="6"/>
    <n v="1"/>
    <n v="56.3"/>
    <n v="66.7"/>
    <n v="41.7"/>
    <n v="58.3"/>
    <n v="50305"/>
    <n v="50400"/>
    <x v="4"/>
    <n v="99"/>
  </r>
  <r>
    <d v="2023-05-04T00:00:00"/>
    <s v="Amex Stadium"/>
    <n v="31577"/>
    <s v="Brighton and Hove Albion"/>
    <n v="1"/>
    <s v="Manchester United"/>
    <n v="0"/>
    <n v="59.6"/>
    <n v="40.4"/>
    <n v="22"/>
    <n v="16"/>
    <n v="6"/>
    <n v="5"/>
    <n v="11"/>
    <n v="6"/>
    <n v="5"/>
    <n v="5"/>
    <n v="86.3"/>
    <n v="75.599999999999994"/>
    <n v="0"/>
    <n v="2"/>
    <n v="53.3"/>
    <n v="65"/>
    <n v="63.2"/>
    <n v="36.799999999999997"/>
    <n v="28577"/>
    <n v="28876"/>
    <x v="3"/>
    <n v="98"/>
  </r>
  <r>
    <d v="2023-05-06T00:00:00"/>
    <s v="Vitality Stadium"/>
    <n v="10357"/>
    <s v="Bournemouth"/>
    <n v="1"/>
    <s v="Chelsea"/>
    <n v="3"/>
    <n v="34"/>
    <n v="66"/>
    <n v="10"/>
    <n v="11"/>
    <n v="4"/>
    <n v="5"/>
    <n v="4"/>
    <n v="5"/>
    <n v="2"/>
    <n v="1"/>
    <n v="75.400000000000006"/>
    <n v="88.2"/>
    <n v="1"/>
    <n v="2"/>
    <n v="56.3"/>
    <n v="91.7"/>
    <n v="50"/>
    <n v="50"/>
    <n v="7357"/>
    <n v="9879"/>
    <x v="15"/>
    <n v="74"/>
  </r>
  <r>
    <d v="2023-05-06T00:00:00"/>
    <s v="Anfield"/>
    <n v="52838"/>
    <s v="Liverpool"/>
    <n v="1"/>
    <s v="Brentford"/>
    <n v="0"/>
    <n v="53.9"/>
    <n v="46.1"/>
    <n v="15"/>
    <n v="5"/>
    <n v="5"/>
    <n v="1"/>
    <n v="6"/>
    <n v="3"/>
    <n v="4"/>
    <n v="1"/>
    <n v="81.5"/>
    <n v="74.8"/>
    <n v="2"/>
    <n v="0"/>
    <n v="55.6"/>
    <n v="54.5"/>
    <n v="50"/>
    <n v="50"/>
    <n v="49838"/>
    <n v="58000"/>
    <x v="2"/>
    <n v="85"/>
  </r>
  <r>
    <d v="2023-05-06T00:00:00"/>
    <s v="Tottenham Hotspur Stadium"/>
    <n v="61093"/>
    <s v="Tottenham Hotspur"/>
    <n v="1"/>
    <s v="Crystal Palace"/>
    <n v="0"/>
    <n v="57.5"/>
    <n v="42.5"/>
    <n v="8"/>
    <n v="7"/>
    <n v="3"/>
    <n v="2"/>
    <n v="3"/>
    <n v="3"/>
    <n v="2"/>
    <n v="2"/>
    <n v="84"/>
    <n v="75.400000000000006"/>
    <n v="3"/>
    <n v="0"/>
    <n v="46.2"/>
    <n v="73.3"/>
    <n v="63.3"/>
    <n v="36.700000000000003"/>
    <n v="58093"/>
    <n v="59850"/>
    <x v="14"/>
    <n v="97"/>
  </r>
  <r>
    <d v="2023-05-06T00:00:00"/>
    <s v="Molineux"/>
    <n v="31641"/>
    <s v="Wolverhampton Wanderers"/>
    <n v="1"/>
    <s v="Aston Villa"/>
    <n v="0"/>
    <n v="38"/>
    <n v="62"/>
    <n v="6"/>
    <n v="16"/>
    <n v="2"/>
    <n v="3"/>
    <n v="2"/>
    <n v="6"/>
    <n v="2"/>
    <n v="7"/>
    <n v="73.5"/>
    <n v="85.9"/>
    <n v="1"/>
    <n v="2"/>
    <n v="69.2"/>
    <n v="70"/>
    <n v="32.1"/>
    <n v="67.900000000000006"/>
    <n v="28641"/>
    <n v="29050"/>
    <x v="3"/>
    <n v="98"/>
  </r>
  <r>
    <d v="2023-05-06T00:00:00"/>
    <s v="Etihad Stadium"/>
    <n v="53406"/>
    <s v="Manchester City"/>
    <n v="2"/>
    <s v="Leeds United"/>
    <n v="1"/>
    <n v="80.900000000000006"/>
    <n v="19.100000000000001"/>
    <n v="18"/>
    <n v="4"/>
    <n v="6"/>
    <n v="2"/>
    <n v="10"/>
    <n v="1"/>
    <n v="2"/>
    <n v="1"/>
    <n v="91.1"/>
    <n v="59.7"/>
    <n v="2"/>
    <n v="0"/>
    <n v="71.400000000000006"/>
    <n v="50"/>
    <n v="52"/>
    <n v="48"/>
    <n v="50406"/>
    <n v="50400"/>
    <x v="8"/>
    <n v="100"/>
  </r>
  <r>
    <d v="2023-05-07T00:00:00"/>
    <s v="London Stadium"/>
    <n v="62477"/>
    <s v="West Ham United"/>
    <n v="1"/>
    <s v="Manchester United"/>
    <n v="0"/>
    <n v="34.6"/>
    <n v="65.400000000000006"/>
    <n v="15"/>
    <n v="19"/>
    <n v="4"/>
    <n v="4"/>
    <n v="5"/>
    <n v="12"/>
    <n v="6"/>
    <n v="3"/>
    <n v="76.2"/>
    <n v="86.5"/>
    <n v="2"/>
    <n v="1"/>
    <n v="41.2"/>
    <n v="50"/>
    <n v="53.1"/>
    <n v="46.9"/>
    <n v="59477"/>
    <n v="65013"/>
    <x v="5"/>
    <n v="91"/>
  </r>
  <r>
    <d v="2023-05-07T00:00:00"/>
    <s v="St James' Park, Newcastle"/>
    <n v="50267"/>
    <s v="Newcastle United"/>
    <n v="0"/>
    <s v="Arsenal"/>
    <n v="2"/>
    <n v="54.3"/>
    <n v="45.7"/>
    <n v="12"/>
    <n v="10"/>
    <n v="5"/>
    <n v="6"/>
    <n v="4"/>
    <n v="2"/>
    <n v="3"/>
    <n v="2"/>
    <n v="79.7"/>
    <n v="79.2"/>
    <n v="2"/>
    <n v="2"/>
    <n v="50"/>
    <n v="78.3"/>
    <n v="58.6"/>
    <n v="41.4"/>
    <n v="47267"/>
    <n v="49350"/>
    <x v="9"/>
    <n v="95"/>
  </r>
  <r>
    <d v="2023-05-08T00:00:00"/>
    <s v="Craven Cottage"/>
    <n v="24442"/>
    <s v="Fulham"/>
    <n v="5"/>
    <s v="Leicester City"/>
    <n v="3"/>
    <n v="57.1"/>
    <n v="42.9"/>
    <n v="17"/>
    <n v="18"/>
    <n v="7"/>
    <n v="9"/>
    <n v="5"/>
    <n v="4"/>
    <n v="5"/>
    <n v="5"/>
    <n v="82"/>
    <n v="76.8"/>
    <n v="2"/>
    <n v="2"/>
    <n v="63.6"/>
    <n v="57.1"/>
    <n v="64"/>
    <n v="36"/>
    <n v="21442"/>
    <n v="25700"/>
    <x v="22"/>
    <n v="83"/>
  </r>
  <r>
    <d v="2023-05-08T00:00:00"/>
    <s v="The City Ground"/>
    <n v="29154"/>
    <s v="Nottingham Forest"/>
    <n v="4"/>
    <s v="Southampton"/>
    <n v="3"/>
    <n v="35.9"/>
    <n v="64.099999999999994"/>
    <n v="9"/>
    <n v="19"/>
    <n v="4"/>
    <n v="5"/>
    <n v="3"/>
    <n v="9"/>
    <n v="2"/>
    <n v="5"/>
    <n v="69.599999999999994"/>
    <n v="83.4"/>
    <n v="1"/>
    <n v="4"/>
    <n v="40"/>
    <n v="66.7"/>
    <n v="60"/>
    <n v="40"/>
    <n v="26154"/>
    <n v="27445"/>
    <x v="9"/>
    <n v="95"/>
  </r>
  <r>
    <d v="2023-05-08T00:00:00"/>
    <s v="Amex Stadium"/>
    <n v="31567"/>
    <s v="Brighton and Hove Albion"/>
    <n v="1"/>
    <s v="Everton"/>
    <n v="5"/>
    <n v="77.7"/>
    <n v="22.3"/>
    <n v="23"/>
    <n v="10"/>
    <n v="5"/>
    <n v="5"/>
    <n v="9"/>
    <n v="1"/>
    <n v="9"/>
    <n v="4"/>
    <n v="88.7"/>
    <n v="65.2"/>
    <n v="2"/>
    <n v="4"/>
    <n v="63.6"/>
    <n v="57.9"/>
    <n v="45.7"/>
    <n v="54.3"/>
    <n v="28567"/>
    <n v="28876"/>
    <x v="3"/>
    <n v="98"/>
  </r>
  <r>
    <d v="2023-05-13T00:00:00"/>
    <s v="St. Mary's Stadium"/>
    <n v="28978"/>
    <s v="Southampton"/>
    <n v="0"/>
    <s v="Fulham"/>
    <n v="2"/>
    <n v="35.6"/>
    <n v="64.400000000000006"/>
    <n v="5"/>
    <n v="9"/>
    <n v="1"/>
    <n v="4"/>
    <n v="2"/>
    <n v="1"/>
    <n v="2"/>
    <n v="4"/>
    <n v="77.900000000000006"/>
    <n v="87.5"/>
    <n v="0"/>
    <n v="2"/>
    <n v="56.3"/>
    <n v="50"/>
    <n v="63.6"/>
    <n v="36.4"/>
    <n v="25978"/>
    <n v="29384"/>
    <x v="24"/>
    <n v="88"/>
  </r>
  <r>
    <d v="2023-05-13T00:00:00"/>
    <s v="Selhurst Park"/>
    <n v="25034"/>
    <s v="Crystal Palace"/>
    <n v="2"/>
    <s v="Bournemouth"/>
    <n v="0"/>
    <n v="59.8"/>
    <n v="40.200000000000003"/>
    <n v="17"/>
    <n v="5"/>
    <n v="5"/>
    <n v="0"/>
    <n v="7"/>
    <n v="1"/>
    <n v="5"/>
    <n v="4"/>
    <n v="85.6"/>
    <n v="80.5"/>
    <n v="2"/>
    <n v="0"/>
    <n v="72.7"/>
    <n v="50"/>
    <n v="42.3"/>
    <n v="57.7"/>
    <n v="22034"/>
    <n v="23486"/>
    <x v="16"/>
    <n v="93"/>
  </r>
  <r>
    <d v="2023-05-13T00:00:00"/>
    <s v="Elland Road"/>
    <n v="36955"/>
    <s v="Leeds United"/>
    <n v="2"/>
    <s v="Newcastle United"/>
    <n v="2"/>
    <n v="36.1"/>
    <n v="63.9"/>
    <n v="9"/>
    <n v="18"/>
    <n v="4"/>
    <n v="5"/>
    <n v="3"/>
    <n v="7"/>
    <n v="2"/>
    <n v="6"/>
    <n v="64.400000000000006"/>
    <n v="80.8"/>
    <n v="0"/>
    <n v="0"/>
    <n v="52.2"/>
    <n v="57.1"/>
    <n v="37.9"/>
    <n v="62.1"/>
    <n v="33955"/>
    <n v="35220"/>
    <x v="7"/>
    <n v="96"/>
  </r>
  <r>
    <d v="2023-05-13T00:00:00"/>
    <s v="Old Trafford"/>
    <n v="73570"/>
    <s v="Manchester United"/>
    <n v="2"/>
    <s v="Wolverhampton Wanderers"/>
    <n v="0"/>
    <n v="48"/>
    <n v="52"/>
    <n v="27"/>
    <n v="5"/>
    <n v="9"/>
    <n v="0"/>
    <n v="11"/>
    <n v="5"/>
    <n v="7"/>
    <n v="0"/>
    <n v="81.8"/>
    <n v="80.400000000000006"/>
    <n v="4"/>
    <n v="0"/>
    <n v="61.5"/>
    <n v="87.5"/>
    <n v="53.3"/>
    <n v="46.7"/>
    <n v="70570"/>
    <n v="71310"/>
    <x v="3"/>
    <n v="98"/>
  </r>
  <r>
    <d v="2023-05-13T00:00:00"/>
    <s v="Stamford Bridge"/>
    <n v="40030"/>
    <s v="Chelsea"/>
    <n v="2"/>
    <s v="Nottingham Forest"/>
    <n v="2"/>
    <n v="76.099999999999994"/>
    <n v="23.9"/>
    <n v="14"/>
    <n v="11"/>
    <n v="6"/>
    <n v="2"/>
    <n v="3"/>
    <n v="7"/>
    <n v="5"/>
    <n v="2"/>
    <n v="89.1"/>
    <n v="60.8"/>
    <n v="1"/>
    <n v="3"/>
    <n v="64.3"/>
    <n v="53.6"/>
    <n v="55.2"/>
    <n v="44.8"/>
    <n v="37030"/>
    <n v="37343"/>
    <x v="4"/>
    <n v="99"/>
  </r>
  <r>
    <d v="2023-05-13T00:00:00"/>
    <s v="Villa Park"/>
    <n v="42164"/>
    <s v="Aston Villa"/>
    <n v="2"/>
    <s v="Tottenham Hotspur"/>
    <n v="1"/>
    <n v="48.7"/>
    <n v="51.3"/>
    <n v="8"/>
    <n v="5"/>
    <n v="4"/>
    <n v="2"/>
    <n v="4"/>
    <n v="2"/>
    <n v="0"/>
    <n v="1"/>
    <n v="85"/>
    <n v="85.3"/>
    <n v="3"/>
    <n v="1"/>
    <n v="72.7"/>
    <n v="43.8"/>
    <n v="42.9"/>
    <n v="57.1"/>
    <n v="39164"/>
    <n v="39000"/>
    <x v="8"/>
    <n v="100"/>
  </r>
  <r>
    <d v="2023-05-14T00:00:00"/>
    <s v="Gtech Community Stadium"/>
    <n v="17075"/>
    <s v="Brentford"/>
    <n v="2"/>
    <s v="West Ham United"/>
    <n v="0"/>
    <n v="53.1"/>
    <n v="46.9"/>
    <n v="24"/>
    <n v="4"/>
    <n v="10"/>
    <n v="4"/>
    <n v="9"/>
    <n v="0"/>
    <n v="5"/>
    <n v="0"/>
    <n v="81.2"/>
    <n v="79"/>
    <n v="5"/>
    <n v="0"/>
    <n v="55"/>
    <n v="81.8"/>
    <n v="48.6"/>
    <n v="51.4"/>
    <n v="14075"/>
    <n v="15250"/>
    <x v="6"/>
    <n v="92"/>
  </r>
  <r>
    <d v="2023-05-14T00:00:00"/>
    <s v="Goodison Park"/>
    <n v="39376"/>
    <s v="Everton"/>
    <n v="0"/>
    <s v="Manchester City"/>
    <n v="3"/>
    <n v="36.799999999999997"/>
    <n v="63.2"/>
    <n v="7"/>
    <n v="9"/>
    <n v="3"/>
    <n v="4"/>
    <n v="3"/>
    <n v="3"/>
    <n v="1"/>
    <n v="2"/>
    <n v="85"/>
    <n v="91"/>
    <n v="1"/>
    <n v="1"/>
    <n v="68.8"/>
    <n v="71.400000000000006"/>
    <n v="50"/>
    <n v="50"/>
    <n v="36376"/>
    <n v="36572"/>
    <x v="4"/>
    <n v="99"/>
  </r>
  <r>
    <d v="2023-05-14T00:00:00"/>
    <s v="Emirates Stadium"/>
    <n v="60139"/>
    <s v="Arsenal"/>
    <n v="0"/>
    <s v="Brighton and Hove Albion"/>
    <n v="3"/>
    <n v="40.9"/>
    <n v="59.1"/>
    <n v="14"/>
    <n v="12"/>
    <n v="2"/>
    <n v="6"/>
    <n v="8"/>
    <n v="5"/>
    <n v="4"/>
    <n v="1"/>
    <n v="76.7"/>
    <n v="83.4"/>
    <n v="1"/>
    <n v="2"/>
    <n v="30"/>
    <n v="60"/>
    <n v="42.1"/>
    <n v="57.9"/>
    <n v="57139"/>
    <n v="57704"/>
    <x v="4"/>
    <n v="99"/>
  </r>
  <r>
    <d v="2023-05-15T00:00:00"/>
    <s v="The King Power Stadium"/>
    <n v="32225"/>
    <s v="Leicester City"/>
    <n v="0"/>
    <s v="Liverpool"/>
    <n v="3"/>
    <n v="33.1"/>
    <n v="66.900000000000006"/>
    <n v="4"/>
    <n v="16"/>
    <n v="4"/>
    <n v="5"/>
    <n v="0"/>
    <n v="6"/>
    <n v="0"/>
    <n v="5"/>
    <n v="69.5"/>
    <n v="85.3"/>
    <n v="1"/>
    <n v="3"/>
    <n v="47.2"/>
    <n v="66.7"/>
    <n v="52.2"/>
    <n v="47.8"/>
    <n v="29225"/>
    <n v="29261"/>
    <x v="4"/>
    <n v="99"/>
  </r>
  <r>
    <d v="2023-05-18T00:00:00"/>
    <s v="St James' Park, Newcastle"/>
    <n v="52122"/>
    <s v="Newcastle United"/>
    <n v="4"/>
    <s v="Brighton and Hove Albion"/>
    <n v="1"/>
    <n v="33.700000000000003"/>
    <n v="66.3"/>
    <n v="22"/>
    <n v="8"/>
    <n v="9"/>
    <n v="2"/>
    <n v="6"/>
    <n v="3"/>
    <n v="7"/>
    <n v="3"/>
    <n v="70.900000000000006"/>
    <n v="84.1"/>
    <n v="5"/>
    <n v="1"/>
    <n v="90.9"/>
    <n v="71.400000000000006"/>
    <n v="68.2"/>
    <n v="31.8"/>
    <n v="49122"/>
    <n v="49350"/>
    <x v="4"/>
    <n v="99"/>
  </r>
  <r>
    <d v="2023-05-20T00:00:00"/>
    <s v="Vitality Stadium"/>
    <n v="10240"/>
    <s v="Bournemouth"/>
    <n v="0"/>
    <s v="Manchester United"/>
    <n v="1"/>
    <n v="41.5"/>
    <n v="58.5"/>
    <n v="10"/>
    <n v="20"/>
    <n v="4"/>
    <n v="5"/>
    <n v="3"/>
    <n v="8"/>
    <n v="3"/>
    <n v="7"/>
    <n v="85.4"/>
    <n v="85.6"/>
    <n v="1"/>
    <n v="0"/>
    <n v="58.3"/>
    <n v="73.099999999999994"/>
    <n v="35"/>
    <n v="65"/>
    <n v="7240"/>
    <n v="9879"/>
    <x v="11"/>
    <n v="73"/>
  </r>
  <r>
    <d v="2023-05-20T00:00:00"/>
    <s v="Craven Cottage"/>
    <n v="24356"/>
    <s v="Fulham"/>
    <n v="2"/>
    <s v="Crystal Palace"/>
    <n v="2"/>
    <n v="49.5"/>
    <n v="50.5"/>
    <n v="11"/>
    <n v="11"/>
    <n v="4"/>
    <n v="5"/>
    <n v="3"/>
    <n v="3"/>
    <n v="4"/>
    <n v="3"/>
    <n v="75.3"/>
    <n v="78.400000000000006"/>
    <n v="2"/>
    <n v="1"/>
    <n v="43.8"/>
    <n v="33.299999999999997"/>
    <n v="52"/>
    <n v="48"/>
    <n v="21356"/>
    <n v="25700"/>
    <x v="22"/>
    <n v="83"/>
  </r>
  <r>
    <d v="2023-05-20T00:00:00"/>
    <s v="Anfield"/>
    <n v="53306"/>
    <s v="Liverpool"/>
    <n v="1"/>
    <s v="Aston Villa"/>
    <n v="1"/>
    <n v="66.3"/>
    <n v="33.700000000000003"/>
    <n v="10"/>
    <n v="6"/>
    <n v="5"/>
    <n v="3"/>
    <n v="1"/>
    <n v="2"/>
    <n v="4"/>
    <n v="1"/>
    <n v="84.3"/>
    <n v="66.7"/>
    <n v="1"/>
    <n v="2"/>
    <n v="61.1"/>
    <n v="51.7"/>
    <n v="65"/>
    <n v="35"/>
    <n v="50306"/>
    <n v="58000"/>
    <x v="10"/>
    <n v="86"/>
  </r>
  <r>
    <d v="2023-05-20T00:00:00"/>
    <s v="The City Ground"/>
    <n v="29514"/>
    <s v="Nottingham Forest"/>
    <n v="1"/>
    <s v="Arsenal"/>
    <n v="0"/>
    <n v="18.3"/>
    <n v="81.7"/>
    <n v="6"/>
    <n v="11"/>
    <n v="2"/>
    <n v="3"/>
    <n v="3"/>
    <n v="7"/>
    <n v="1"/>
    <n v="1"/>
    <n v="49.7"/>
    <n v="89"/>
    <n v="0"/>
    <n v="0"/>
    <n v="66.7"/>
    <n v="37.5"/>
    <n v="25"/>
    <n v="75"/>
    <n v="26514"/>
    <n v="27445"/>
    <x v="7"/>
    <n v="96"/>
  </r>
  <r>
    <d v="2023-05-20T00:00:00"/>
    <s v="Tottenham Hotspur Stadium"/>
    <n v="61514"/>
    <s v="Tottenham Hotspur"/>
    <n v="1"/>
    <s v="Brentford"/>
    <n v="3"/>
    <n v="61.8"/>
    <n v="38.200000000000003"/>
    <n v="22"/>
    <n v="11"/>
    <n v="8"/>
    <n v="4"/>
    <n v="6"/>
    <n v="6"/>
    <n v="8"/>
    <n v="1"/>
    <n v="86.2"/>
    <n v="77.7"/>
    <n v="2"/>
    <n v="2"/>
    <n v="50"/>
    <n v="54.5"/>
    <n v="59.1"/>
    <n v="40.9"/>
    <n v="58514"/>
    <n v="59850"/>
    <x v="14"/>
    <n v="97"/>
  </r>
  <r>
    <d v="2023-05-20T00:00:00"/>
    <s v="Molineux"/>
    <n v="31684"/>
    <s v="Wolverhampton Wanderers"/>
    <n v="1"/>
    <s v="Everton"/>
    <n v="1"/>
    <n v="53.2"/>
    <n v="46.8"/>
    <n v="13"/>
    <n v="19"/>
    <n v="5"/>
    <n v="4"/>
    <n v="6"/>
    <n v="9"/>
    <n v="2"/>
    <n v="6"/>
    <n v="78.7"/>
    <n v="75.900000000000006"/>
    <n v="0"/>
    <n v="3"/>
    <n v="41.7"/>
    <n v="52.6"/>
    <n v="37.5"/>
    <n v="62.5"/>
    <n v="28684"/>
    <n v="29050"/>
    <x v="3"/>
    <n v="98"/>
  </r>
  <r>
    <d v="2023-05-21T00:00:00"/>
    <s v="London Stadium"/>
    <n v="62478"/>
    <s v="West Ham United"/>
    <n v="3"/>
    <s v="Leeds United"/>
    <n v="1"/>
    <n v="58.8"/>
    <n v="41.2"/>
    <n v="19"/>
    <n v="12"/>
    <n v="9"/>
    <n v="3"/>
    <n v="4"/>
    <n v="6"/>
    <n v="6"/>
    <n v="3"/>
    <n v="80.900000000000006"/>
    <n v="72.900000000000006"/>
    <n v="4"/>
    <n v="0"/>
    <n v="72.7"/>
    <n v="60.9"/>
    <n v="73.900000000000006"/>
    <n v="26.1"/>
    <n v="59478"/>
    <n v="65013"/>
    <x v="5"/>
    <n v="91"/>
  </r>
  <r>
    <d v="2023-05-21T00:00:00"/>
    <s v="Amex Stadium"/>
    <n v="31507"/>
    <s v="Brighton and Hove Albion"/>
    <n v="3"/>
    <s v="Southampton"/>
    <n v="1"/>
    <n v="63"/>
    <n v="37"/>
    <n v="26"/>
    <n v="5"/>
    <n v="8"/>
    <n v="1"/>
    <n v="11"/>
    <n v="3"/>
    <n v="7"/>
    <n v="1"/>
    <n v="91.7"/>
    <n v="79.599999999999994"/>
    <n v="1"/>
    <n v="1"/>
    <n v="69.2"/>
    <n v="62.5"/>
    <n v="73.3"/>
    <n v="26.7"/>
    <n v="28507"/>
    <n v="28876"/>
    <x v="3"/>
    <n v="98"/>
  </r>
  <r>
    <d v="2023-05-21T00:00:00"/>
    <s v="Etihad Stadium"/>
    <n v="53490"/>
    <s v="Manchester City"/>
    <n v="1"/>
    <s v="Chelsea"/>
    <n v="0"/>
    <n v="64.599999999999994"/>
    <n v="35.4"/>
    <n v="15"/>
    <n v="13"/>
    <n v="2"/>
    <n v="6"/>
    <n v="7"/>
    <n v="4"/>
    <n v="6"/>
    <n v="3"/>
    <n v="91.5"/>
    <n v="86.8"/>
    <n v="2"/>
    <n v="2"/>
    <n v="75"/>
    <n v="70.599999999999994"/>
    <n v="44.4"/>
    <n v="55.6"/>
    <n v="50490"/>
    <n v="50400"/>
    <x v="8"/>
    <n v="100"/>
  </r>
  <r>
    <d v="2023-05-22T00:00:00"/>
    <s v="St James' Park, Newcastle"/>
    <n v="52152"/>
    <s v="Newcastle United"/>
    <n v="0"/>
    <s v="Leicester City"/>
    <n v="0"/>
    <n v="77.599999999999994"/>
    <n v="22.4"/>
    <n v="23"/>
    <n v="1"/>
    <n v="4"/>
    <n v="1"/>
    <n v="13"/>
    <n v="0"/>
    <n v="6"/>
    <n v="0"/>
    <n v="89.5"/>
    <n v="58.9"/>
    <n v="1"/>
    <n v="0"/>
    <n v="33.299999999999997"/>
    <n v="47.1"/>
    <n v="59.4"/>
    <n v="40.6"/>
    <n v="49152"/>
    <n v="49350"/>
    <x v="4"/>
    <n v="99"/>
  </r>
  <r>
    <d v="2023-05-24T00:00:00"/>
    <s v="Amex Stadium"/>
    <n v="31388"/>
    <s v="Brighton and Hove Albion"/>
    <n v="1"/>
    <s v="Manchester City"/>
    <n v="1"/>
    <n v="39.6"/>
    <n v="60.4"/>
    <n v="20"/>
    <n v="13"/>
    <n v="7"/>
    <n v="4"/>
    <n v="6"/>
    <n v="6"/>
    <n v="7"/>
    <n v="3"/>
    <n v="84.2"/>
    <n v="89"/>
    <n v="2"/>
    <n v="3"/>
    <n v="50"/>
    <n v="33.299999999999997"/>
    <n v="42.9"/>
    <n v="57.1"/>
    <n v="28388"/>
    <n v="28876"/>
    <x v="3"/>
    <n v="98"/>
  </r>
  <r>
    <d v="2023-05-25T00:00:00"/>
    <s v="Old Trafford"/>
    <n v="73561"/>
    <s v="Manchester United"/>
    <n v="4"/>
    <s v="Chelsea"/>
    <n v="1"/>
    <n v="41.1"/>
    <n v="58.9"/>
    <n v="18"/>
    <n v="14"/>
    <n v="9"/>
    <n v="5"/>
    <n v="4"/>
    <n v="5"/>
    <n v="5"/>
    <n v="4"/>
    <n v="84"/>
    <n v="90.4"/>
    <n v="4"/>
    <n v="3"/>
    <n v="52.6"/>
    <n v="61.9"/>
    <n v="33.299999999999997"/>
    <n v="66.7"/>
    <n v="70561"/>
    <n v="71310"/>
    <x v="3"/>
    <n v="98"/>
  </r>
  <r>
    <d v="2023-05-28T00:00:00"/>
    <s v="Gtech Community Stadium"/>
    <n v="17120"/>
    <s v="Brentford"/>
    <n v="1"/>
    <s v="Manchester City"/>
    <n v="0"/>
    <n v="34.4"/>
    <n v="65.599999999999994"/>
    <n v="11"/>
    <n v="17"/>
    <n v="4"/>
    <n v="3"/>
    <n v="4"/>
    <n v="6"/>
    <n v="3"/>
    <n v="8"/>
    <n v="79.3"/>
    <n v="89.8"/>
    <n v="2"/>
    <n v="1"/>
    <n v="64.7"/>
    <n v="35.700000000000003"/>
    <n v="50"/>
    <n v="50"/>
    <n v="14120"/>
    <n v="15250"/>
    <x v="6"/>
    <n v="92"/>
  </r>
  <r>
    <d v="2023-05-28T00:00:00"/>
    <s v="Selhurst Park"/>
    <n v="25198"/>
    <s v="Crystal Palace"/>
    <n v="1"/>
    <s v="Nottingham Forest"/>
    <n v="1"/>
    <n v="66"/>
    <n v="34"/>
    <n v="15"/>
    <n v="7"/>
    <n v="3"/>
    <n v="4"/>
    <n v="8"/>
    <n v="2"/>
    <n v="4"/>
    <n v="1"/>
    <n v="85.7"/>
    <n v="69.900000000000006"/>
    <n v="1"/>
    <n v="0"/>
    <n v="40"/>
    <n v="52.6"/>
    <n v="58.3"/>
    <n v="41.7"/>
    <n v="22198"/>
    <n v="23486"/>
    <x v="0"/>
    <n v="94"/>
  </r>
  <r>
    <d v="2023-05-28T00:00:00"/>
    <s v="St. Mary's Stadium"/>
    <n v="31129"/>
    <s v="Southampton"/>
    <n v="4"/>
    <s v="Liverpool"/>
    <n v="4"/>
    <n v="30.9"/>
    <n v="69.099999999999994"/>
    <n v="15"/>
    <n v="30"/>
    <n v="10"/>
    <n v="8"/>
    <n v="5"/>
    <n v="11"/>
    <n v="0"/>
    <n v="11"/>
    <n v="74.5"/>
    <n v="86.9"/>
    <n v="1"/>
    <n v="5"/>
    <n v="71.400000000000006"/>
    <n v="75"/>
    <n v="54.5"/>
    <n v="45.5"/>
    <n v="28129"/>
    <n v="29384"/>
    <x v="9"/>
    <n v="95"/>
  </r>
  <r>
    <d v="2023-05-28T00:00:00"/>
    <s v="Elland Road"/>
    <n v="36871"/>
    <s v="Leeds United"/>
    <n v="1"/>
    <s v="Tottenham Hotspur"/>
    <n v="4"/>
    <n v="52.1"/>
    <n v="47.9"/>
    <n v="19"/>
    <n v="11"/>
    <n v="2"/>
    <n v="7"/>
    <n v="7"/>
    <n v="3"/>
    <n v="10"/>
    <n v="1"/>
    <n v="77.3"/>
    <n v="78"/>
    <n v="1"/>
    <n v="3"/>
    <n v="54.5"/>
    <n v="46.2"/>
    <n v="54.5"/>
    <n v="45.5"/>
    <n v="33871"/>
    <n v="35220"/>
    <x v="7"/>
    <n v="96"/>
  </r>
  <r>
    <d v="2023-05-28T00:00:00"/>
    <s v="Emirates Stadium"/>
    <n v="60095"/>
    <s v="Arsenal"/>
    <n v="5"/>
    <s v="Wolverhampton Wanderers"/>
    <n v="0"/>
    <n v="51"/>
    <n v="49"/>
    <n v="14"/>
    <n v="6"/>
    <n v="8"/>
    <n v="0"/>
    <n v="4"/>
    <n v="4"/>
    <n v="2"/>
    <n v="2"/>
    <n v="89"/>
    <n v="88"/>
    <n v="3"/>
    <n v="0"/>
    <n v="82.4"/>
    <n v="44.4"/>
    <n v="47.8"/>
    <n v="52.2"/>
    <n v="57095"/>
    <n v="57704"/>
    <x v="3"/>
    <n v="98"/>
  </r>
  <r>
    <d v="2023-05-28T00:00:00"/>
    <s v="Goodison Park"/>
    <n v="39201"/>
    <s v="Everton"/>
    <n v="1"/>
    <s v="Bournemouth"/>
    <n v="0"/>
    <n v="37.799999999999997"/>
    <n v="62.2"/>
    <n v="13"/>
    <n v="7"/>
    <n v="6"/>
    <n v="2"/>
    <n v="5"/>
    <n v="3"/>
    <n v="2"/>
    <n v="2"/>
    <n v="73.099999999999994"/>
    <n v="83.9"/>
    <n v="0"/>
    <n v="0"/>
    <n v="50"/>
    <n v="58.3"/>
    <n v="53.8"/>
    <n v="46.2"/>
    <n v="36201"/>
    <n v="36572"/>
    <x v="3"/>
    <n v="98"/>
  </r>
  <r>
    <d v="2023-05-28T00:00:00"/>
    <s v="Old Trafford"/>
    <n v="73465"/>
    <s v="Manchester United"/>
    <n v="2"/>
    <s v="Fulham"/>
    <n v="1"/>
    <n v="53.2"/>
    <n v="46.8"/>
    <n v="21"/>
    <n v="10"/>
    <n v="8"/>
    <n v="3"/>
    <n v="7"/>
    <n v="6"/>
    <n v="6"/>
    <n v="1"/>
    <n v="84.2"/>
    <n v="84"/>
    <n v="4"/>
    <n v="2"/>
    <n v="78.900000000000006"/>
    <n v="66.7"/>
    <n v="46.4"/>
    <n v="53.6"/>
    <n v="70465"/>
    <n v="71310"/>
    <x v="3"/>
    <n v="98"/>
  </r>
  <r>
    <d v="2023-05-28T00:00:00"/>
    <s v="Stamford Bridge"/>
    <n v="40130"/>
    <s v="Chelsea"/>
    <n v="1"/>
    <s v="Newcastle United"/>
    <n v="1"/>
    <n v="64.400000000000006"/>
    <n v="35.6"/>
    <n v="22"/>
    <n v="13"/>
    <n v="5"/>
    <n v="4"/>
    <n v="9"/>
    <n v="5"/>
    <n v="8"/>
    <n v="4"/>
    <n v="88.9"/>
    <n v="83.3"/>
    <n v="2"/>
    <n v="2"/>
    <n v="42.9"/>
    <n v="42.9"/>
    <n v="54.5"/>
    <n v="45.5"/>
    <n v="37130"/>
    <n v="37343"/>
    <x v="4"/>
    <n v="99"/>
  </r>
  <r>
    <d v="2023-05-28T00:00:00"/>
    <s v="The King Power Stadium"/>
    <n v="32183"/>
    <s v="Leicester City"/>
    <n v="2"/>
    <s v="West Ham United"/>
    <n v="1"/>
    <n v="48.2"/>
    <n v="51.8"/>
    <n v="13"/>
    <n v="16"/>
    <n v="4"/>
    <n v="3"/>
    <n v="6"/>
    <n v="9"/>
    <n v="3"/>
    <n v="4"/>
    <n v="87.8"/>
    <n v="88.7"/>
    <n v="2"/>
    <n v="1"/>
    <n v="63.6"/>
    <n v="58.8"/>
    <n v="68.8"/>
    <n v="31.3"/>
    <n v="29183"/>
    <n v="29261"/>
    <x v="4"/>
    <n v="99"/>
  </r>
  <r>
    <d v="2023-05-28T00:00:00"/>
    <s v="Villa Park"/>
    <n v="42212"/>
    <s v="Aston Villa"/>
    <n v="2"/>
    <s v="Brighton and Hove Albion"/>
    <n v="1"/>
    <n v="40.299999999999997"/>
    <n v="59.7"/>
    <n v="12"/>
    <n v="8"/>
    <n v="5"/>
    <n v="4"/>
    <n v="5"/>
    <n v="3"/>
    <n v="2"/>
    <n v="1"/>
    <n v="75.3"/>
    <n v="83.6"/>
    <n v="4"/>
    <n v="3"/>
    <n v="42.9"/>
    <n v="15.4"/>
    <n v="52.2"/>
    <n v="47.8"/>
    <n v="39212"/>
    <n v="39000"/>
    <x v="8"/>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759217-2F50-4611-BE62-39213C858A6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G24" firstHeaderRow="0" firstDataRow="1" firstDataCol="1" rowPageCount="1" colPageCount="1"/>
  <pivotFields count="11">
    <pivotField axis="axisRow" showAll="0" sortType="descending">
      <items count="51">
        <item x="9"/>
        <item x="1"/>
        <item x="29"/>
        <item x="34"/>
        <item x="3"/>
        <item x="43"/>
        <item x="26"/>
        <item x="46"/>
        <item x="31"/>
        <item x="49"/>
        <item x="47"/>
        <item x="42"/>
        <item x="45"/>
        <item x="30"/>
        <item x="10"/>
        <item x="15"/>
        <item x="18"/>
        <item x="27"/>
        <item x="12"/>
        <item x="33"/>
        <item x="48"/>
        <item x="41"/>
        <item x="13"/>
        <item x="16"/>
        <item x="25"/>
        <item x="6"/>
        <item x="8"/>
        <item x="0"/>
        <item x="20"/>
        <item x="22"/>
        <item x="2"/>
        <item x="21"/>
        <item x="19"/>
        <item x="36"/>
        <item x="4"/>
        <item x="39"/>
        <item x="14"/>
        <item x="7"/>
        <item x="17"/>
        <item x="40"/>
        <item x="28"/>
        <item x="44"/>
        <item x="24"/>
        <item x="5"/>
        <item x="32"/>
        <item x="35"/>
        <item x="23"/>
        <item x="38"/>
        <item x="11"/>
        <item x="37"/>
        <item t="default"/>
      </items>
      <autoSortScope>
        <pivotArea dataOnly="0" outline="0" fieldPosition="0">
          <references count="1">
            <reference field="4294967294" count="1" selected="0">
              <x v="0"/>
            </reference>
          </references>
        </pivotArea>
      </autoSortScope>
    </pivotField>
    <pivotField axis="axisPage"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dataField="1" showAll="0">
      <items count="19">
        <item x="17"/>
        <item x="15"/>
        <item x="14"/>
        <item x="9"/>
        <item x="10"/>
        <item x="8"/>
        <item x="4"/>
        <item x="5"/>
        <item x="3"/>
        <item x="6"/>
        <item x="2"/>
        <item x="7"/>
        <item x="1"/>
        <item x="0"/>
        <item x="13"/>
        <item x="12"/>
        <item x="11"/>
        <item x="16"/>
        <item t="default"/>
      </items>
    </pivotField>
    <pivotField dataField="1" showAll="0"/>
    <pivotField dataField="1" showAll="0"/>
    <pivotField showAll="0"/>
    <pivotField dataField="1" showAll="0"/>
    <pivotField dataField="1" showAll="0"/>
    <pivotField dataField="1" showAll="0"/>
    <pivotField showAll="0"/>
    <pivotField showAll="0"/>
  </pivotFields>
  <rowFields count="1">
    <field x="0"/>
  </rowFields>
  <rowItems count="21">
    <i>
      <x v="26"/>
    </i>
    <i>
      <x v="27"/>
    </i>
    <i>
      <x/>
    </i>
    <i>
      <x v="25"/>
    </i>
    <i>
      <x v="43"/>
    </i>
    <i>
      <x v="1"/>
    </i>
    <i>
      <x v="29"/>
    </i>
    <i>
      <x v="10"/>
    </i>
    <i>
      <x v="9"/>
    </i>
    <i>
      <x v="49"/>
    </i>
    <i>
      <x v="46"/>
    </i>
    <i>
      <x v="31"/>
    </i>
    <i>
      <x v="19"/>
    </i>
    <i>
      <x v="16"/>
    </i>
    <i>
      <x v="7"/>
    </i>
    <i>
      <x v="18"/>
    </i>
    <i>
      <x v="14"/>
    </i>
    <i>
      <x v="24"/>
    </i>
    <i>
      <x v="23"/>
    </i>
    <i>
      <x v="38"/>
    </i>
    <i t="grand">
      <x/>
    </i>
  </rowItems>
  <colFields count="1">
    <field x="-2"/>
  </colFields>
  <colItems count="6">
    <i>
      <x/>
    </i>
    <i i="1">
      <x v="1"/>
    </i>
    <i i="2">
      <x v="2"/>
    </i>
    <i i="3">
      <x v="3"/>
    </i>
    <i i="4">
      <x v="4"/>
    </i>
    <i i="5">
      <x v="5"/>
    </i>
  </colItems>
  <pageFields count="1">
    <pageField fld="1" hier="-1"/>
  </pageFields>
  <dataFields count="6">
    <dataField name="Home W" fld="2" baseField="0" baseItem="0"/>
    <dataField name="Away W" fld="6" baseField="0" baseItem="29"/>
    <dataField name="Home D" fld="3" baseField="0" baseItem="29"/>
    <dataField name="Away D" fld="7" baseField="0" baseItem="29"/>
    <dataField name="Home L" fld="4" baseField="0" baseItem="29"/>
    <dataField name="Away L" fld="8" baseField="0" baseItem="29"/>
  </dataFields>
  <chartFormats count="18">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8" format="3" series="1">
      <pivotArea type="data" outline="0" fieldPosition="0">
        <references count="1">
          <reference field="4294967294" count="1" selected="0">
            <x v="3"/>
          </reference>
        </references>
      </pivotArea>
    </chartFormat>
    <chartFormat chart="8" format="4" series="1">
      <pivotArea type="data" outline="0" fieldPosition="0">
        <references count="1">
          <reference field="4294967294" count="1" selected="0">
            <x v="4"/>
          </reference>
        </references>
      </pivotArea>
    </chartFormat>
    <chartFormat chart="8" format="5" series="1">
      <pivotArea type="data" outline="0" fieldPosition="0">
        <references count="1">
          <reference field="4294967294" count="1" selected="0">
            <x v="5"/>
          </reference>
        </references>
      </pivotArea>
    </chartFormat>
    <chartFormat chart="14" format="24" series="1">
      <pivotArea type="data" outline="0" fieldPosition="0">
        <references count="1">
          <reference field="4294967294" count="1" selected="0">
            <x v="0"/>
          </reference>
        </references>
      </pivotArea>
    </chartFormat>
    <chartFormat chart="14" format="25" series="1">
      <pivotArea type="data" outline="0" fieldPosition="0">
        <references count="1">
          <reference field="4294967294" count="1" selected="0">
            <x v="1"/>
          </reference>
        </references>
      </pivotArea>
    </chartFormat>
    <chartFormat chart="14" format="26" series="1">
      <pivotArea type="data" outline="0" fieldPosition="0">
        <references count="1">
          <reference field="4294967294" count="1" selected="0">
            <x v="2"/>
          </reference>
        </references>
      </pivotArea>
    </chartFormat>
    <chartFormat chart="14" format="27" series="1">
      <pivotArea type="data" outline="0" fieldPosition="0">
        <references count="1">
          <reference field="4294967294" count="1" selected="0">
            <x v="3"/>
          </reference>
        </references>
      </pivotArea>
    </chartFormat>
    <chartFormat chart="14" format="28" series="1">
      <pivotArea type="data" outline="0" fieldPosition="0">
        <references count="1">
          <reference field="4294967294" count="1" selected="0">
            <x v="4"/>
          </reference>
        </references>
      </pivotArea>
    </chartFormat>
    <chartFormat chart="14" format="29" series="1">
      <pivotArea type="data" outline="0" fieldPosition="0">
        <references count="1">
          <reference field="4294967294" count="1" selected="0">
            <x v="5"/>
          </reference>
        </references>
      </pivotArea>
    </chartFormat>
    <chartFormat chart="19" format="36" series="1">
      <pivotArea type="data" outline="0" fieldPosition="0">
        <references count="1">
          <reference field="4294967294" count="1" selected="0">
            <x v="0"/>
          </reference>
        </references>
      </pivotArea>
    </chartFormat>
    <chartFormat chart="19" format="37" series="1">
      <pivotArea type="data" outline="0" fieldPosition="0">
        <references count="1">
          <reference field="4294967294" count="1" selected="0">
            <x v="1"/>
          </reference>
        </references>
      </pivotArea>
    </chartFormat>
    <chartFormat chart="19" format="38" series="1">
      <pivotArea type="data" outline="0" fieldPosition="0">
        <references count="1">
          <reference field="4294967294" count="1" selected="0">
            <x v="2"/>
          </reference>
        </references>
      </pivotArea>
    </chartFormat>
    <chartFormat chart="19" format="39" series="1">
      <pivotArea type="data" outline="0" fieldPosition="0">
        <references count="1">
          <reference field="4294967294" count="1" selected="0">
            <x v="3"/>
          </reference>
        </references>
      </pivotArea>
    </chartFormat>
    <chartFormat chart="19" format="40" series="1">
      <pivotArea type="data" outline="0" fieldPosition="0">
        <references count="1">
          <reference field="4294967294" count="1" selected="0">
            <x v="4"/>
          </reference>
        </references>
      </pivotArea>
    </chartFormat>
    <chartFormat chart="19" format="41"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C7BD53-FA35-41E3-8EC5-697FD6FF5E2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J54" firstHeaderRow="0" firstDataRow="1" firstDataCol="1" rowPageCount="1" colPageCount="1"/>
  <pivotFields count="11">
    <pivotField axis="axisRow" showAll="0">
      <items count="51">
        <item x="9"/>
        <item x="1"/>
        <item x="29"/>
        <item x="34"/>
        <item x="3"/>
        <item x="43"/>
        <item x="26"/>
        <item x="46"/>
        <item x="31"/>
        <item x="49"/>
        <item x="47"/>
        <item x="42"/>
        <item x="45"/>
        <item x="30"/>
        <item x="10"/>
        <item x="15"/>
        <item x="18"/>
        <item x="27"/>
        <item x="12"/>
        <item x="33"/>
        <item x="48"/>
        <item x="41"/>
        <item x="13"/>
        <item x="16"/>
        <item x="25"/>
        <item x="6"/>
        <item x="8"/>
        <item x="0"/>
        <item x="20"/>
        <item x="22"/>
        <item x="2"/>
        <item x="21"/>
        <item x="19"/>
        <item x="36"/>
        <item x="4"/>
        <item x="39"/>
        <item x="14"/>
        <item x="7"/>
        <item x="17"/>
        <item x="40"/>
        <item x="28"/>
        <item x="44"/>
        <item x="24"/>
        <item x="5"/>
        <item x="32"/>
        <item x="35"/>
        <item x="23"/>
        <item x="38"/>
        <item x="11"/>
        <item x="37"/>
        <item t="default"/>
      </items>
    </pivotField>
    <pivotField axis="axisPage"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9">
    <i>
      <x/>
    </i>
    <i i="1">
      <x v="1"/>
    </i>
    <i i="2">
      <x v="2"/>
    </i>
    <i i="3">
      <x v="3"/>
    </i>
    <i i="4">
      <x v="4"/>
    </i>
    <i i="5">
      <x v="5"/>
    </i>
    <i i="6">
      <x v="6"/>
    </i>
    <i i="7">
      <x v="7"/>
    </i>
    <i i="8">
      <x v="8"/>
    </i>
  </colItems>
  <pageFields count="1">
    <pageField fld="1" hier="-1"/>
  </pageFields>
  <dataFields count="9">
    <dataField name="Sum of Points" fld="10" baseField="0" baseItem="0"/>
    <dataField name="Sum of Home Wins" fld="2" baseField="0" baseItem="0"/>
    <dataField name="Sum of Home Losses" fld="4" baseField="0" baseItem="0"/>
    <dataField name="Sum of Home GD" fld="5" baseField="0" baseItem="0"/>
    <dataField name="Sum of Home Draws" fld="3" baseField="0" baseItem="0"/>
    <dataField name="Sum of Away Wins" fld="6" baseField="0" baseItem="0"/>
    <dataField name="Sum of Away Losses" fld="8" baseField="0" baseItem="0"/>
    <dataField name="Sum of Away GD" fld="9" baseField="0" baseItem="0"/>
    <dataField name="Sum of Away Draws" fld="7" baseField="0" baseItem="0"/>
  </dataFields>
  <formats count="2">
    <format dxfId="1">
      <pivotArea dataOnly="0" labelOnly="1" outline="0" fieldPosition="0">
        <references count="1">
          <reference field="4294967294" count="9">
            <x v="0"/>
            <x v="1"/>
            <x v="2"/>
            <x v="3"/>
            <x v="4"/>
            <x v="5"/>
            <x v="6"/>
            <x v="7"/>
            <x v="8"/>
          </reference>
        </references>
      </pivotArea>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0A2FB6-53B8-47F9-B944-37C578B5070D}"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Team">
  <location ref="A3:D23" firstHeaderRow="0" firstDataRow="1" firstDataCol="1"/>
  <pivotFields count="11">
    <pivotField axis="axisRow" showAll="0" sortType="descending" defaultSubtotal="0">
      <items count="50">
        <item x="9"/>
        <item x="1"/>
        <item x="29"/>
        <item x="34"/>
        <item x="3"/>
        <item x="43"/>
        <item x="26"/>
        <item x="46"/>
        <item x="31"/>
        <item x="49"/>
        <item x="47"/>
        <item x="42"/>
        <item x="45"/>
        <item x="30"/>
        <item x="10"/>
        <item x="15"/>
        <item x="18"/>
        <item x="27"/>
        <item x="12"/>
        <item x="33"/>
        <item x="48"/>
        <item x="41"/>
        <item x="13"/>
        <item x="16"/>
        <item x="25"/>
        <item x="6"/>
        <item x="8"/>
        <item x="0"/>
        <item x="20"/>
        <item x="22"/>
        <item x="2"/>
        <item x="21"/>
        <item x="19"/>
        <item x="36"/>
        <item x="4"/>
        <item x="39"/>
        <item x="14"/>
        <item x="7"/>
        <item x="17"/>
        <item x="40"/>
        <item x="28"/>
        <item x="44"/>
        <item x="24"/>
        <item x="5"/>
        <item x="32"/>
        <item x="35"/>
        <item x="23"/>
        <item x="38"/>
        <item x="11"/>
        <item x="37"/>
      </items>
      <autoSortScope>
        <pivotArea dataOnly="0" outline="0" fieldPosition="0">
          <references count="1">
            <reference field="4294967294" count="1" selected="0">
              <x v="0"/>
            </reference>
          </references>
        </pivotArea>
      </autoSortScope>
    </pivotField>
    <pivotField subtotalTop="0" multipleItemSelectionAllowed="1" showAll="0">
      <items count="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t="default"/>
      </items>
    </pivotField>
    <pivotField showAll="0"/>
    <pivotField showAll="0"/>
    <pivotField showAll="0"/>
    <pivotField dataField="1" showAll="0"/>
    <pivotField showAll="0"/>
    <pivotField showAll="0"/>
    <pivotField showAll="0"/>
    <pivotField dataField="1" showAll="0"/>
    <pivotField dataField="1" showAll="0"/>
  </pivotFields>
  <rowFields count="1">
    <field x="0"/>
  </rowFields>
  <rowItems count="20">
    <i>
      <x v="26"/>
    </i>
    <i>
      <x/>
    </i>
    <i>
      <x v="27"/>
    </i>
    <i>
      <x v="29"/>
    </i>
    <i>
      <x v="25"/>
    </i>
    <i>
      <x v="10"/>
    </i>
    <i>
      <x v="1"/>
    </i>
    <i>
      <x v="43"/>
    </i>
    <i>
      <x v="9"/>
    </i>
    <i>
      <x v="19"/>
    </i>
    <i>
      <x v="16"/>
    </i>
    <i>
      <x v="14"/>
    </i>
    <i>
      <x v="49"/>
    </i>
    <i>
      <x v="46"/>
    </i>
    <i>
      <x v="7"/>
    </i>
    <i>
      <x v="31"/>
    </i>
    <i>
      <x v="18"/>
    </i>
    <i>
      <x v="24"/>
    </i>
    <i>
      <x v="23"/>
    </i>
    <i>
      <x v="38"/>
    </i>
  </rowItems>
  <colFields count="1">
    <field x="-2"/>
  </colFields>
  <colItems count="3">
    <i>
      <x/>
    </i>
    <i i="1">
      <x v="1"/>
    </i>
    <i i="2">
      <x v="2"/>
    </i>
  </colItems>
  <dataFields count="3">
    <dataField name="Pts" fld="10" baseField="0" baseItem="0"/>
    <dataField name="HGD" fld="5" baseField="0" baseItem="0"/>
    <dataField name="AGD" fld="9" baseField="0" baseItem="0"/>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22A557-71B2-4A58-AE95-098BCBE98CD1}"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C30" firstHeaderRow="0" firstDataRow="1" firstDataCol="1"/>
  <pivotFields count="7">
    <pivotField axis="axisRow" showAll="0">
      <items count="27">
        <item x="2"/>
        <item x="15"/>
        <item x="20"/>
        <item x="3"/>
        <item x="7"/>
        <item x="17"/>
        <item x="22"/>
        <item x="1"/>
        <item x="12"/>
        <item x="14"/>
        <item x="8"/>
        <item x="5"/>
        <item x="21"/>
        <item x="16"/>
        <item x="6"/>
        <item x="11"/>
        <item x="18"/>
        <item x="4"/>
        <item x="0"/>
        <item x="23"/>
        <item x="10"/>
        <item x="25"/>
        <item x="19"/>
        <item x="24"/>
        <item x="13"/>
        <item x="9"/>
        <item t="default"/>
      </items>
    </pivotField>
    <pivotField dataField="1" showAll="0">
      <items count="27">
        <item x="7"/>
        <item x="23"/>
        <item x="25"/>
        <item x="13"/>
        <item x="19"/>
        <item x="5"/>
        <item x="24"/>
        <item x="22"/>
        <item x="18"/>
        <item x="17"/>
        <item x="11"/>
        <item x="0"/>
        <item x="9"/>
        <item x="20"/>
        <item x="12"/>
        <item x="3"/>
        <item x="14"/>
        <item x="8"/>
        <item x="16"/>
        <item x="15"/>
        <item x="4"/>
        <item x="1"/>
        <item x="10"/>
        <item x="2"/>
        <item x="21"/>
        <item x="6"/>
        <item t="default"/>
      </items>
    </pivotField>
    <pivotField dataField="1" showAll="0">
      <items count="27">
        <item x="7"/>
        <item x="25"/>
        <item x="23"/>
        <item x="13"/>
        <item x="19"/>
        <item x="22"/>
        <item x="5"/>
        <item x="24"/>
        <item x="17"/>
        <item x="0"/>
        <item x="18"/>
        <item x="9"/>
        <item x="11"/>
        <item x="20"/>
        <item x="12"/>
        <item x="14"/>
        <item x="3"/>
        <item x="15"/>
        <item x="8"/>
        <item x="16"/>
        <item x="4"/>
        <item x="1"/>
        <item x="2"/>
        <item x="10"/>
        <item x="21"/>
        <item x="6"/>
        <item t="default"/>
      </items>
    </pivotField>
    <pivotField showAll="0"/>
    <pivotField showAll="0"/>
    <pivotField showAll="0"/>
    <pivotField showAll="0"/>
  </pivotFields>
  <rowFields count="1">
    <field x="0"/>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2">
    <i>
      <x/>
    </i>
    <i i="1">
      <x v="1"/>
    </i>
  </colItems>
  <dataFields count="2">
    <dataField name="Home Foul" fld="1" baseField="0" baseItem="0"/>
    <dataField name="Away Foul" fld="2" baseField="0" baseItem="0"/>
  </dataField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2DA2E1-4CA1-42DD-B87A-0C5AB33B3C2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66:D93" firstHeaderRow="0" firstDataRow="1" firstDataCol="1"/>
  <pivotFields count="7">
    <pivotField axis="axisRow" showAll="0">
      <items count="27">
        <item x="2"/>
        <item x="15"/>
        <item x="20"/>
        <item x="3"/>
        <item x="7"/>
        <item x="17"/>
        <item x="22"/>
        <item x="1"/>
        <item x="12"/>
        <item x="14"/>
        <item x="8"/>
        <item x="5"/>
        <item x="21"/>
        <item x="16"/>
        <item x="6"/>
        <item x="11"/>
        <item x="18"/>
        <item x="4"/>
        <item x="0"/>
        <item x="23"/>
        <item x="10"/>
        <item x="25"/>
        <item x="19"/>
        <item x="24"/>
        <item x="13"/>
        <item x="9"/>
        <item t="default"/>
      </items>
    </pivotField>
    <pivotField showAll="0"/>
    <pivotField showAll="0"/>
    <pivotField dataField="1" showAll="0"/>
    <pivotField dataField="1" showAll="0"/>
    <pivotField showAll="0"/>
    <pivotField showAll="0"/>
  </pivotFields>
  <rowFields count="1">
    <field x="0"/>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2">
    <i>
      <x/>
    </i>
    <i i="1">
      <x v="1"/>
    </i>
  </colItems>
  <dataFields count="2">
    <dataField name="Home Yellow" fld="3" baseField="0" baseItem="0"/>
    <dataField name="Away Yellow" fld="4"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ECABA6-3349-49EA-82C4-ECF38EDCE175}"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F32:H59" firstHeaderRow="0" firstDataRow="1" firstDataCol="1"/>
  <pivotFields count="7">
    <pivotField axis="axisRow" showAll="0">
      <items count="27">
        <item x="2"/>
        <item x="15"/>
        <item x="20"/>
        <item x="3"/>
        <item x="7"/>
        <item x="17"/>
        <item x="22"/>
        <item x="1"/>
        <item x="12"/>
        <item x="14"/>
        <item x="8"/>
        <item x="5"/>
        <item x="21"/>
        <item x="16"/>
        <item x="6"/>
        <item x="11"/>
        <item x="18"/>
        <item x="4"/>
        <item x="0"/>
        <item x="23"/>
        <item x="10"/>
        <item x="25"/>
        <item x="19"/>
        <item x="24"/>
        <item x="13"/>
        <item x="9"/>
        <item t="default"/>
      </items>
    </pivotField>
    <pivotField showAll="0"/>
    <pivotField showAll="0"/>
    <pivotField showAll="0"/>
    <pivotField showAll="0"/>
    <pivotField dataField="1" showAll="0"/>
    <pivotField dataField="1" showAll="0"/>
  </pivotFields>
  <rowFields count="1">
    <field x="0"/>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2">
    <i>
      <x/>
    </i>
    <i i="1">
      <x v="1"/>
    </i>
  </colItems>
  <dataFields count="2">
    <dataField name="Home Red" fld="5" baseField="0" baseItem="0"/>
    <dataField name="Away Red" fld="6"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6BF6A8-99D4-4CC4-948F-932C6F0ECFD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G24" firstHeaderRow="0" firstDataRow="1" firstDataCol="1" rowPageCount="1" colPageCount="1"/>
  <pivotFields count="25">
    <pivotField axis="axisPage" showAll="0">
      <items count="21">
        <item x="0"/>
        <item x="1"/>
        <item x="15"/>
        <item x="2"/>
        <item x="10"/>
        <item x="3"/>
        <item x="4"/>
        <item x="5"/>
        <item x="16"/>
        <item x="6"/>
        <item x="7"/>
        <item x="17"/>
        <item x="13"/>
        <item x="8"/>
        <item x="11"/>
        <item x="19"/>
        <item x="9"/>
        <item x="14"/>
        <item x="12"/>
        <item x="18"/>
        <item t="default"/>
      </items>
    </pivotField>
    <pivotField showAll="0"/>
    <pivotField axis="axisRow" showAll="0">
      <items count="21">
        <item x="19"/>
        <item x="17"/>
        <item x="5"/>
        <item x="14"/>
        <item x="1"/>
        <item x="10"/>
        <item x="16"/>
        <item x="18"/>
        <item x="8"/>
        <item x="12"/>
        <item x="11"/>
        <item x="9"/>
        <item x="2"/>
        <item x="15"/>
        <item x="3"/>
        <item x="4"/>
        <item x="13"/>
        <item x="6"/>
        <item x="7"/>
        <item x="0"/>
        <item t="default"/>
      </items>
    </pivotField>
    <pivotField showAll="0"/>
    <pivotField dataField="1" showAll="0"/>
    <pivotField showAll="0"/>
    <pivotField dataField="1"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dataField="1" showAll="0"/>
    <pivotField showAll="0"/>
    <pivotField numFmtId="164" showAll="0"/>
    <pivotField showAll="0"/>
    <pivotField dataField="1" numFmtId="2" showAll="0"/>
  </pivotFields>
  <rowFields count="1">
    <field x="2"/>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6">
    <i>
      <x/>
    </i>
    <i i="1">
      <x v="1"/>
    </i>
    <i i="2">
      <x v="2"/>
    </i>
    <i i="3">
      <x v="3"/>
    </i>
    <i i="4">
      <x v="4"/>
    </i>
    <i i="5">
      <x v="5"/>
    </i>
  </colItems>
  <pageFields count="1">
    <pageField fld="0" hier="-1"/>
  </pageFields>
  <dataFields count="6">
    <dataField name="Average of % Home Att" fld="24" subtotal="average" baseField="2" baseItem="0"/>
    <dataField name="Average of home_possessions" fld="4" subtotal="average" baseField="2" baseItem="0"/>
    <dataField name="Average of home_shots" fld="6" subtotal="average" baseField="2" baseItem="12"/>
    <dataField name="Average of home_pass" fld="14" subtotal="average" baseField="2" baseItem="0"/>
    <dataField name="Average of home_tackles %" fld="18" subtotal="average" baseField="2" baseItem="0"/>
    <dataField name="Average of home_duels %" fld="20"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C9C940-767A-40A8-B25B-3305914D7A9F}" name="PivotTable7"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3:D28" firstHeaderRow="0" firstDataRow="1" firstDataCol="1"/>
  <pivotFields count="29">
    <pivotField numFmtId="14"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dataField="1" showAll="0"/>
    <pivotField showAll="0"/>
    <pivotField numFmtId="164" showAll="0"/>
    <pivotField showAll="0"/>
    <pivotField axis="axisRow" numFmtId="165" showAll="0">
      <items count="26">
        <item x="1"/>
        <item x="17"/>
        <item x="11"/>
        <item x="15"/>
        <item x="12"/>
        <item x="23"/>
        <item x="18"/>
        <item x="20"/>
        <item x="13"/>
        <item x="21"/>
        <item x="22"/>
        <item x="2"/>
        <item x="10"/>
        <item x="24"/>
        <item x="19"/>
        <item x="5"/>
        <item x="6"/>
        <item x="16"/>
        <item x="0"/>
        <item x="9"/>
        <item x="7"/>
        <item x="14"/>
        <item x="3"/>
        <item x="4"/>
        <item x="8"/>
        <item t="default"/>
      </items>
    </pivotField>
    <pivotField numFmtId="1" showAll="0"/>
  </pivotFields>
  <rowFields count="1">
    <field x="27"/>
  </rowFields>
  <rowItems count="25">
    <i>
      <x/>
    </i>
    <i>
      <x v="1"/>
    </i>
    <i>
      <x v="2"/>
    </i>
    <i>
      <x v="3"/>
    </i>
    <i>
      <x v="4"/>
    </i>
    <i>
      <x v="5"/>
    </i>
    <i>
      <x v="6"/>
    </i>
    <i>
      <x v="7"/>
    </i>
    <i>
      <x v="8"/>
    </i>
    <i>
      <x v="9"/>
    </i>
    <i>
      <x v="10"/>
    </i>
    <i>
      <x v="11"/>
    </i>
    <i>
      <x v="12"/>
    </i>
    <i>
      <x v="13"/>
    </i>
    <i>
      <x v="14"/>
    </i>
    <i>
      <x v="15"/>
    </i>
    <i>
      <x v="16"/>
    </i>
    <i>
      <x v="17"/>
    </i>
    <i>
      <x v="18"/>
    </i>
    <i>
      <x v="19"/>
    </i>
    <i>
      <x v="20"/>
    </i>
    <i>
      <x v="21"/>
    </i>
    <i>
      <x v="22"/>
    </i>
    <i>
      <x v="23"/>
    </i>
    <i>
      <x v="24"/>
    </i>
  </rowItems>
  <colFields count="1">
    <field x="-2"/>
  </colFields>
  <colItems count="3">
    <i>
      <x/>
    </i>
    <i i="1">
      <x v="1"/>
    </i>
    <i i="2">
      <x v="2"/>
    </i>
  </colItems>
  <dataFields count="3">
    <dataField name="% Duels Won" fld="23" subtotal="average" baseField="27" baseItem="1"/>
    <dataField name="% Team Tackles Won" fld="21" subtotal="average" baseField="27" baseItem="1"/>
    <dataField name="% Passes Completed" fld="17" subtotal="average" baseField="27" baseItem="1"/>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652DE9C6-7B32-449C-BB9D-B2F635C06CB2}" sourceName="Season">
  <pivotTables>
    <pivotTable tabId="4" name="PivotTable1"/>
    <pivotTable tabId="9" name="PivotTable2"/>
  </pivotTables>
  <data>
    <tabular pivotCacheId="1652463225">
      <items count="31">
        <i x="0"/>
        <i x="1"/>
        <i x="2"/>
        <i x="3"/>
        <i x="4"/>
        <i x="5"/>
        <i x="6"/>
        <i x="7"/>
        <i x="8"/>
        <i x="9"/>
        <i x="10"/>
        <i x="11"/>
        <i x="12"/>
        <i x="13"/>
        <i x="14"/>
        <i x="15"/>
        <i x="16"/>
        <i x="17"/>
        <i x="18"/>
        <i x="19"/>
        <i x="20"/>
        <i x="21"/>
        <i x="22"/>
        <i x="23"/>
        <i x="24"/>
        <i x="25"/>
        <i x="26"/>
        <i x="27"/>
        <i x="28"/>
        <i x="29"/>
        <i x="3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EC042CEB-E5A5-4304-A3E5-002700F27C60}" cache="Slicer_Season" caption="Season" style="SlicerStyleLight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B4492EF5-7BE8-4BCA-AE25-ABFEF9B51379}" cache="Slicer_Season" caption="Season" startItem="15" rowHeight="8229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738E01-37DE-480B-996C-A7E57A2D58FF}" name="Table1" displayName="Table1" ref="A1:K627" totalsRowShown="0">
  <autoFilter ref="A1:K627" xr:uid="{C7738E01-37DE-480B-996C-A7E57A2D58FF}"/>
  <tableColumns count="11">
    <tableColumn id="1" xr3:uid="{C1C00641-F3ED-4861-938B-E07DAAE42EA6}" name="Team"/>
    <tableColumn id="2" xr3:uid="{467478D3-CBB8-4937-B2C9-7A507C597E8F}" name="Season"/>
    <tableColumn id="3" xr3:uid="{0DC7EFD9-80C5-4E3C-9C57-9237202234F5}" name="Home Wins"/>
    <tableColumn id="4" xr3:uid="{54E81E29-7BDA-4C38-B6B0-EDF1E770CEB5}" name="Home Draws"/>
    <tableColumn id="5" xr3:uid="{9CC96833-4F9B-40CC-925D-48BF2A12359D}" name="Home Losses"/>
    <tableColumn id="6" xr3:uid="{057618C1-FAEF-43CD-B4F8-DA0D09A74946}" name="Home GD"/>
    <tableColumn id="7" xr3:uid="{D14815FB-18CF-4006-9D8B-A33C4E77CC7F}" name="Away Wins"/>
    <tableColumn id="8" xr3:uid="{597EFA87-EDBC-435D-B491-45FA8E8035B7}" name="Away Draws"/>
    <tableColumn id="9" xr3:uid="{1B010636-A4B0-429D-8C4F-A0FD9FA3835D}" name="Away Losses"/>
    <tableColumn id="10" xr3:uid="{4DC98F96-9C47-4693-A11B-4A75BD7A2AE5}" name="Away GD"/>
    <tableColumn id="11" xr3:uid="{0835586A-CB21-4404-8C7F-DB7185395260}" name="Poin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7.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994FE-349A-44DF-85A1-FBE7FFF38686}">
  <sheetPr codeName="Sheet2"/>
  <dimension ref="A1:G24"/>
  <sheetViews>
    <sheetView zoomScaleNormal="100" workbookViewId="0">
      <selection activeCell="C12" sqref="C12"/>
    </sheetView>
  </sheetViews>
  <sheetFormatPr defaultRowHeight="15" x14ac:dyDescent="0.25"/>
  <cols>
    <col min="1" max="1" width="15.140625" bestFit="1" customWidth="1"/>
    <col min="2" max="2" width="8.7109375" bestFit="1" customWidth="1"/>
    <col min="3" max="3" width="7.85546875" bestFit="1" customWidth="1"/>
    <col min="4" max="4" width="8.28515625" bestFit="1" customWidth="1"/>
    <col min="5" max="5" width="7.42578125" bestFit="1" customWidth="1"/>
    <col min="6" max="6" width="7.85546875" bestFit="1" customWidth="1"/>
    <col min="7" max="7" width="7" bestFit="1" customWidth="1"/>
    <col min="8" max="8" width="16.5703125" bestFit="1" customWidth="1"/>
    <col min="9" max="9" width="15.85546875" bestFit="1" customWidth="1"/>
    <col min="10" max="10" width="17.7109375" bestFit="1" customWidth="1"/>
    <col min="11" max="11" width="16.85546875" bestFit="1" customWidth="1"/>
    <col min="12" max="12" width="18.140625" bestFit="1" customWidth="1"/>
    <col min="13" max="13" width="17.42578125" bestFit="1" customWidth="1"/>
    <col min="14" max="14" width="16.5703125" bestFit="1" customWidth="1"/>
    <col min="15" max="15" width="15.85546875" bestFit="1" customWidth="1"/>
    <col min="16" max="16" width="17.7109375" bestFit="1" customWidth="1"/>
    <col min="17" max="17" width="16.85546875" bestFit="1" customWidth="1"/>
    <col min="18" max="18" width="18.140625" bestFit="1" customWidth="1"/>
    <col min="19" max="19" width="17.42578125" bestFit="1" customWidth="1"/>
    <col min="20" max="20" width="16.5703125" bestFit="1" customWidth="1"/>
    <col min="21" max="21" width="15.85546875" bestFit="1" customWidth="1"/>
    <col min="22" max="22" width="17.7109375" bestFit="1" customWidth="1"/>
    <col min="23" max="23" width="16.85546875" bestFit="1" customWidth="1"/>
    <col min="24" max="24" width="18.140625" bestFit="1" customWidth="1"/>
    <col min="25" max="25" width="17.42578125" bestFit="1" customWidth="1"/>
    <col min="26" max="26" width="16.5703125" bestFit="1" customWidth="1"/>
    <col min="27" max="27" width="15.85546875" bestFit="1" customWidth="1"/>
    <col min="28" max="28" width="17.7109375" bestFit="1" customWidth="1"/>
    <col min="29" max="29" width="16.85546875" bestFit="1" customWidth="1"/>
    <col min="30" max="30" width="18.140625" bestFit="1" customWidth="1"/>
    <col min="31" max="31" width="17.42578125" bestFit="1" customWidth="1"/>
    <col min="32" max="32" width="16.5703125" bestFit="1" customWidth="1"/>
    <col min="33" max="33" width="15.85546875" bestFit="1" customWidth="1"/>
    <col min="34" max="34" width="17.7109375" bestFit="1" customWidth="1"/>
    <col min="35" max="35" width="16.85546875" bestFit="1" customWidth="1"/>
    <col min="36" max="36" width="18.140625" bestFit="1" customWidth="1"/>
    <col min="37" max="37" width="17.42578125" bestFit="1" customWidth="1"/>
    <col min="38" max="38" width="16.5703125" bestFit="1" customWidth="1"/>
    <col min="39" max="39" width="15.85546875" bestFit="1" customWidth="1"/>
    <col min="40" max="40" width="17.7109375" bestFit="1" customWidth="1"/>
    <col min="41" max="41" width="16.85546875" bestFit="1" customWidth="1"/>
    <col min="42" max="42" width="18.140625" bestFit="1" customWidth="1"/>
    <col min="43" max="43" width="17.42578125" bestFit="1" customWidth="1"/>
    <col min="44" max="44" width="16.5703125" bestFit="1" customWidth="1"/>
    <col min="45" max="45" width="15.85546875" bestFit="1" customWidth="1"/>
    <col min="46" max="46" width="17.7109375" bestFit="1" customWidth="1"/>
    <col min="47" max="47" width="16.85546875" bestFit="1" customWidth="1"/>
    <col min="48" max="48" width="18.140625" bestFit="1" customWidth="1"/>
    <col min="49" max="49" width="17.42578125" bestFit="1" customWidth="1"/>
    <col min="50" max="50" width="16.5703125" bestFit="1" customWidth="1"/>
    <col min="51" max="51" width="15.85546875" bestFit="1" customWidth="1"/>
    <col min="52" max="52" width="17.7109375" bestFit="1" customWidth="1"/>
    <col min="53" max="53" width="16.85546875" bestFit="1" customWidth="1"/>
    <col min="54" max="54" width="18.140625" bestFit="1" customWidth="1"/>
    <col min="55" max="55" width="17.42578125" bestFit="1" customWidth="1"/>
    <col min="56" max="56" width="16.5703125" bestFit="1" customWidth="1"/>
    <col min="57" max="57" width="15.85546875" bestFit="1" customWidth="1"/>
    <col min="58" max="58" width="17.7109375" bestFit="1" customWidth="1"/>
    <col min="59" max="59" width="16.85546875" bestFit="1" customWidth="1"/>
    <col min="60" max="60" width="18.140625" bestFit="1" customWidth="1"/>
    <col min="61" max="61" width="17.42578125" bestFit="1" customWidth="1"/>
    <col min="62" max="62" width="16.5703125" bestFit="1" customWidth="1"/>
    <col min="63" max="63" width="15.85546875" bestFit="1" customWidth="1"/>
    <col min="64" max="64" width="17.7109375" bestFit="1" customWidth="1"/>
    <col min="65" max="65" width="16.85546875" bestFit="1" customWidth="1"/>
    <col min="66" max="66" width="18.140625" bestFit="1" customWidth="1"/>
    <col min="67" max="67" width="17.42578125" bestFit="1" customWidth="1"/>
    <col min="68" max="68" width="16.5703125" bestFit="1" customWidth="1"/>
    <col min="69" max="69" width="15.85546875" bestFit="1" customWidth="1"/>
    <col min="70" max="70" width="17.7109375" bestFit="1" customWidth="1"/>
    <col min="71" max="71" width="16.85546875" bestFit="1" customWidth="1"/>
    <col min="72" max="72" width="18.140625" bestFit="1" customWidth="1"/>
    <col min="73" max="73" width="17.42578125" bestFit="1" customWidth="1"/>
    <col min="74" max="74" width="16.5703125" bestFit="1" customWidth="1"/>
    <col min="75" max="75" width="15.85546875" bestFit="1" customWidth="1"/>
    <col min="76" max="76" width="17.7109375" bestFit="1" customWidth="1"/>
    <col min="77" max="77" width="16.85546875" bestFit="1" customWidth="1"/>
    <col min="78" max="78" width="18.140625" bestFit="1" customWidth="1"/>
    <col min="79" max="79" width="17.42578125" bestFit="1" customWidth="1"/>
    <col min="80" max="80" width="16.5703125" bestFit="1" customWidth="1"/>
    <col min="81" max="81" width="15.85546875" bestFit="1" customWidth="1"/>
    <col min="82" max="82" width="17.7109375" bestFit="1" customWidth="1"/>
    <col min="83" max="83" width="16.85546875" bestFit="1" customWidth="1"/>
    <col min="84" max="84" width="18.140625" bestFit="1" customWidth="1"/>
    <col min="85" max="85" width="17.42578125" bestFit="1" customWidth="1"/>
    <col min="86" max="86" width="16.5703125" bestFit="1" customWidth="1"/>
    <col min="87" max="87" width="15.85546875" bestFit="1" customWidth="1"/>
    <col min="88" max="88" width="17.7109375" bestFit="1" customWidth="1"/>
    <col min="89" max="89" width="16.85546875" bestFit="1" customWidth="1"/>
    <col min="90" max="90" width="18.140625" bestFit="1" customWidth="1"/>
    <col min="91" max="91" width="17.42578125" bestFit="1" customWidth="1"/>
    <col min="92" max="92" width="16.5703125" bestFit="1" customWidth="1"/>
    <col min="93" max="93" width="15.85546875" bestFit="1" customWidth="1"/>
    <col min="94" max="94" width="17.7109375" bestFit="1" customWidth="1"/>
    <col min="95" max="95" width="16.85546875" bestFit="1" customWidth="1"/>
    <col min="96" max="96" width="18.140625" bestFit="1" customWidth="1"/>
    <col min="97" max="97" width="17.42578125" bestFit="1" customWidth="1"/>
    <col min="98" max="98" width="16.5703125" bestFit="1" customWidth="1"/>
    <col min="99" max="99" width="15.85546875" bestFit="1" customWidth="1"/>
    <col min="100" max="100" width="17.7109375" bestFit="1" customWidth="1"/>
    <col min="101" max="101" width="16.85546875" bestFit="1" customWidth="1"/>
    <col min="102" max="102" width="18.140625" bestFit="1" customWidth="1"/>
    <col min="103" max="103" width="17.42578125" bestFit="1" customWidth="1"/>
    <col min="104" max="104" width="16.5703125" bestFit="1" customWidth="1"/>
    <col min="105" max="105" width="15.85546875" bestFit="1" customWidth="1"/>
    <col min="106" max="106" width="17.7109375" bestFit="1" customWidth="1"/>
    <col min="107" max="107" width="16.85546875" bestFit="1" customWidth="1"/>
    <col min="108" max="108" width="18.140625" bestFit="1" customWidth="1"/>
    <col min="109" max="109" width="17.42578125" bestFit="1" customWidth="1"/>
    <col min="110" max="110" width="16.5703125" bestFit="1" customWidth="1"/>
    <col min="111" max="111" width="15.85546875" bestFit="1" customWidth="1"/>
    <col min="112" max="112" width="17.7109375" bestFit="1" customWidth="1"/>
    <col min="113" max="113" width="16.85546875" bestFit="1" customWidth="1"/>
    <col min="114" max="114" width="18.140625" bestFit="1" customWidth="1"/>
    <col min="115" max="115" width="17.42578125" bestFit="1" customWidth="1"/>
    <col min="116" max="116" width="16.5703125" bestFit="1" customWidth="1"/>
    <col min="117" max="117" width="15.85546875" bestFit="1" customWidth="1"/>
    <col min="118" max="118" width="17.7109375" bestFit="1" customWidth="1"/>
    <col min="119" max="119" width="16.85546875" bestFit="1" customWidth="1"/>
    <col min="120" max="120" width="18.140625" bestFit="1" customWidth="1"/>
    <col min="121" max="121" width="17.42578125" bestFit="1" customWidth="1"/>
    <col min="122" max="122" width="16.5703125" bestFit="1" customWidth="1"/>
    <col min="123" max="123" width="15.85546875" bestFit="1" customWidth="1"/>
    <col min="124" max="124" width="17.7109375" bestFit="1" customWidth="1"/>
    <col min="125" max="125" width="16.85546875" bestFit="1" customWidth="1"/>
    <col min="126" max="126" width="18.140625" bestFit="1" customWidth="1"/>
    <col min="127" max="127" width="17.42578125" bestFit="1" customWidth="1"/>
    <col min="128" max="128" width="16.5703125" bestFit="1" customWidth="1"/>
    <col min="129" max="129" width="15.85546875" bestFit="1" customWidth="1"/>
    <col min="130" max="130" width="17.7109375" bestFit="1" customWidth="1"/>
    <col min="131" max="131" width="16.85546875" bestFit="1" customWidth="1"/>
    <col min="132" max="132" width="18.140625" bestFit="1" customWidth="1"/>
    <col min="133" max="133" width="17.42578125" bestFit="1" customWidth="1"/>
    <col min="134" max="134" width="16.5703125" bestFit="1" customWidth="1"/>
    <col min="135" max="135" width="15.85546875" bestFit="1" customWidth="1"/>
    <col min="136" max="136" width="17.7109375" bestFit="1" customWidth="1"/>
    <col min="137" max="137" width="16.85546875" bestFit="1" customWidth="1"/>
    <col min="138" max="138" width="18.140625" bestFit="1" customWidth="1"/>
    <col min="139" max="139" width="17.42578125" bestFit="1" customWidth="1"/>
    <col min="140" max="140" width="16.5703125" bestFit="1" customWidth="1"/>
    <col min="141" max="141" width="15.85546875" bestFit="1" customWidth="1"/>
    <col min="142" max="142" width="17.7109375" bestFit="1" customWidth="1"/>
    <col min="143" max="143" width="16.85546875" bestFit="1" customWidth="1"/>
    <col min="144" max="144" width="18.140625" bestFit="1" customWidth="1"/>
    <col min="145" max="145" width="17.42578125" bestFit="1" customWidth="1"/>
    <col min="146" max="146" width="16.5703125" bestFit="1" customWidth="1"/>
    <col min="147" max="147" width="15.85546875" bestFit="1" customWidth="1"/>
    <col min="148" max="148" width="17.7109375" bestFit="1" customWidth="1"/>
    <col min="149" max="149" width="16.85546875" bestFit="1" customWidth="1"/>
    <col min="150" max="150" width="18.140625" bestFit="1" customWidth="1"/>
    <col min="151" max="151" width="17.42578125" bestFit="1" customWidth="1"/>
    <col min="152" max="152" width="16.5703125" bestFit="1" customWidth="1"/>
    <col min="153" max="153" width="15.85546875" bestFit="1" customWidth="1"/>
    <col min="154" max="154" width="17.7109375" bestFit="1" customWidth="1"/>
    <col min="155" max="155" width="16.85546875" bestFit="1" customWidth="1"/>
    <col min="156" max="156" width="18.140625" bestFit="1" customWidth="1"/>
    <col min="157" max="157" width="17.42578125" bestFit="1" customWidth="1"/>
    <col min="158" max="158" width="16.5703125" bestFit="1" customWidth="1"/>
    <col min="159" max="159" width="15.85546875" bestFit="1" customWidth="1"/>
    <col min="160" max="160" width="17.7109375" bestFit="1" customWidth="1"/>
    <col min="161" max="161" width="16.85546875" bestFit="1" customWidth="1"/>
    <col min="162" max="162" width="18.140625" bestFit="1" customWidth="1"/>
    <col min="163" max="163" width="17.42578125" bestFit="1" customWidth="1"/>
    <col min="164" max="164" width="16.5703125" bestFit="1" customWidth="1"/>
    <col min="165" max="165" width="15.85546875" bestFit="1" customWidth="1"/>
    <col min="166" max="166" width="17.7109375" bestFit="1" customWidth="1"/>
    <col min="167" max="167" width="16.85546875" bestFit="1" customWidth="1"/>
    <col min="168" max="168" width="18.140625" bestFit="1" customWidth="1"/>
    <col min="169" max="169" width="17.42578125" bestFit="1" customWidth="1"/>
    <col min="170" max="170" width="16.5703125" bestFit="1" customWidth="1"/>
    <col min="171" max="171" width="15.85546875" bestFit="1" customWidth="1"/>
    <col min="172" max="172" width="17.7109375" bestFit="1" customWidth="1"/>
    <col min="173" max="173" width="16.85546875" bestFit="1" customWidth="1"/>
    <col min="174" max="174" width="18.140625" bestFit="1" customWidth="1"/>
    <col min="175" max="175" width="17.42578125" bestFit="1" customWidth="1"/>
    <col min="176" max="176" width="16.5703125" bestFit="1" customWidth="1"/>
    <col min="177" max="177" width="15.85546875" bestFit="1" customWidth="1"/>
    <col min="178" max="178" width="17.7109375" bestFit="1" customWidth="1"/>
    <col min="179" max="179" width="16.85546875" bestFit="1" customWidth="1"/>
    <col min="180" max="180" width="18.140625" bestFit="1" customWidth="1"/>
    <col min="181" max="181" width="17.42578125" bestFit="1" customWidth="1"/>
    <col min="182" max="182" width="16.5703125" bestFit="1" customWidth="1"/>
    <col min="183" max="183" width="15.85546875" bestFit="1" customWidth="1"/>
    <col min="184" max="184" width="17.7109375" bestFit="1" customWidth="1"/>
    <col min="185" max="185" width="16.85546875" bestFit="1" customWidth="1"/>
    <col min="186" max="186" width="18.140625" bestFit="1" customWidth="1"/>
    <col min="187" max="187" width="17.42578125" bestFit="1" customWidth="1"/>
    <col min="188" max="188" width="21.140625" bestFit="1" customWidth="1"/>
    <col min="189" max="189" width="20.42578125" bestFit="1" customWidth="1"/>
    <col min="190" max="190" width="22.28515625" bestFit="1" customWidth="1"/>
    <col min="191" max="191" width="21.5703125" bestFit="1" customWidth="1"/>
    <col min="192" max="192" width="22.7109375" bestFit="1" customWidth="1"/>
    <col min="193" max="193" width="22" bestFit="1" customWidth="1"/>
  </cols>
  <sheetData>
    <row r="1" spans="1:7" x14ac:dyDescent="0.25">
      <c r="A1" s="1" t="s">
        <v>1</v>
      </c>
      <c r="B1" s="2">
        <v>2023</v>
      </c>
    </row>
    <row r="3" spans="1:7" x14ac:dyDescent="0.25">
      <c r="A3" s="1" t="s">
        <v>61</v>
      </c>
      <c r="B3" t="s">
        <v>75</v>
      </c>
      <c r="C3" t="s">
        <v>78</v>
      </c>
      <c r="D3" t="s">
        <v>79</v>
      </c>
      <c r="E3" t="s">
        <v>80</v>
      </c>
      <c r="F3" t="s">
        <v>81</v>
      </c>
      <c r="G3" t="s">
        <v>82</v>
      </c>
    </row>
    <row r="4" spans="1:7" x14ac:dyDescent="0.25">
      <c r="A4" s="2" t="s">
        <v>19</v>
      </c>
      <c r="B4">
        <v>17</v>
      </c>
      <c r="C4">
        <v>11</v>
      </c>
      <c r="D4">
        <v>1</v>
      </c>
      <c r="E4">
        <v>4</v>
      </c>
      <c r="F4">
        <v>1</v>
      </c>
      <c r="G4">
        <v>4</v>
      </c>
    </row>
    <row r="5" spans="1:7" x14ac:dyDescent="0.25">
      <c r="A5" s="2" t="s">
        <v>11</v>
      </c>
      <c r="B5">
        <v>15</v>
      </c>
      <c r="C5">
        <v>8</v>
      </c>
      <c r="D5">
        <v>3</v>
      </c>
      <c r="E5">
        <v>3</v>
      </c>
      <c r="F5">
        <v>1</v>
      </c>
      <c r="G5">
        <v>8</v>
      </c>
    </row>
    <row r="6" spans="1:7" x14ac:dyDescent="0.25">
      <c r="A6" s="2" t="s">
        <v>20</v>
      </c>
      <c r="B6">
        <v>14</v>
      </c>
      <c r="C6">
        <v>12</v>
      </c>
      <c r="D6">
        <v>3</v>
      </c>
      <c r="E6">
        <v>3</v>
      </c>
      <c r="F6">
        <v>2</v>
      </c>
      <c r="G6">
        <v>4</v>
      </c>
    </row>
    <row r="7" spans="1:7" x14ac:dyDescent="0.25">
      <c r="A7" s="2" t="s">
        <v>17</v>
      </c>
      <c r="B7">
        <v>13</v>
      </c>
      <c r="C7">
        <v>6</v>
      </c>
      <c r="D7">
        <v>5</v>
      </c>
      <c r="E7">
        <v>5</v>
      </c>
      <c r="F7">
        <v>1</v>
      </c>
      <c r="G7">
        <v>8</v>
      </c>
    </row>
    <row r="8" spans="1:7" x14ac:dyDescent="0.25">
      <c r="A8" s="2" t="s">
        <v>16</v>
      </c>
      <c r="B8">
        <v>12</v>
      </c>
      <c r="C8">
        <v>6</v>
      </c>
      <c r="D8">
        <v>1</v>
      </c>
      <c r="E8">
        <v>5</v>
      </c>
      <c r="F8">
        <v>6</v>
      </c>
      <c r="G8">
        <v>8</v>
      </c>
    </row>
    <row r="9" spans="1:7" x14ac:dyDescent="0.25">
      <c r="A9" s="2" t="s">
        <v>12</v>
      </c>
      <c r="B9">
        <v>12</v>
      </c>
      <c r="C9">
        <v>6</v>
      </c>
      <c r="D9">
        <v>2</v>
      </c>
      <c r="E9">
        <v>5</v>
      </c>
      <c r="F9">
        <v>5</v>
      </c>
      <c r="G9">
        <v>8</v>
      </c>
    </row>
    <row r="10" spans="1:7" x14ac:dyDescent="0.25">
      <c r="A10" s="2" t="s">
        <v>33</v>
      </c>
      <c r="B10">
        <v>11</v>
      </c>
      <c r="C10">
        <v>8</v>
      </c>
      <c r="D10">
        <v>6</v>
      </c>
      <c r="E10">
        <v>8</v>
      </c>
      <c r="F10">
        <v>2</v>
      </c>
      <c r="G10">
        <v>3</v>
      </c>
    </row>
    <row r="11" spans="1:7" x14ac:dyDescent="0.25">
      <c r="A11" s="2" t="s">
        <v>58</v>
      </c>
      <c r="B11">
        <v>10</v>
      </c>
      <c r="C11">
        <v>8</v>
      </c>
      <c r="D11">
        <v>4</v>
      </c>
      <c r="E11">
        <v>4</v>
      </c>
      <c r="F11">
        <v>5</v>
      </c>
      <c r="G11">
        <v>7</v>
      </c>
    </row>
    <row r="12" spans="1:7" x14ac:dyDescent="0.25">
      <c r="A12" s="2" t="s">
        <v>60</v>
      </c>
      <c r="B12">
        <v>10</v>
      </c>
      <c r="C12">
        <v>5</v>
      </c>
      <c r="D12">
        <v>7</v>
      </c>
      <c r="E12">
        <v>7</v>
      </c>
      <c r="F12">
        <v>2</v>
      </c>
      <c r="G12">
        <v>7</v>
      </c>
    </row>
    <row r="13" spans="1:7" x14ac:dyDescent="0.25">
      <c r="A13" s="2" t="s">
        <v>48</v>
      </c>
      <c r="B13">
        <v>9</v>
      </c>
      <c r="C13">
        <v>2</v>
      </c>
      <c r="D13">
        <v>3</v>
      </c>
      <c r="E13">
        <v>5</v>
      </c>
      <c r="F13">
        <v>7</v>
      </c>
      <c r="G13">
        <v>12</v>
      </c>
    </row>
    <row r="14" spans="1:7" x14ac:dyDescent="0.25">
      <c r="A14" s="2" t="s">
        <v>34</v>
      </c>
      <c r="B14">
        <v>8</v>
      </c>
      <c r="C14">
        <v>3</v>
      </c>
      <c r="D14">
        <v>4</v>
      </c>
      <c r="E14">
        <v>3</v>
      </c>
      <c r="F14">
        <v>7</v>
      </c>
      <c r="G14">
        <v>13</v>
      </c>
    </row>
    <row r="15" spans="1:7" x14ac:dyDescent="0.25">
      <c r="A15" s="2" t="s">
        <v>32</v>
      </c>
      <c r="B15">
        <v>8</v>
      </c>
      <c r="C15">
        <v>1</v>
      </c>
      <c r="D15">
        <v>6</v>
      </c>
      <c r="E15">
        <v>5</v>
      </c>
      <c r="F15">
        <v>5</v>
      </c>
      <c r="G15">
        <v>13</v>
      </c>
    </row>
    <row r="16" spans="1:7" x14ac:dyDescent="0.25">
      <c r="A16" s="2" t="s">
        <v>44</v>
      </c>
      <c r="B16">
        <v>8</v>
      </c>
      <c r="C16">
        <v>7</v>
      </c>
      <c r="D16">
        <v>5</v>
      </c>
      <c r="E16">
        <v>2</v>
      </c>
      <c r="F16">
        <v>6</v>
      </c>
      <c r="G16">
        <v>10</v>
      </c>
    </row>
    <row r="17" spans="1:7" x14ac:dyDescent="0.25">
      <c r="A17" s="2" t="s">
        <v>29</v>
      </c>
      <c r="B17">
        <v>7</v>
      </c>
      <c r="C17">
        <v>4</v>
      </c>
      <c r="D17">
        <v>7</v>
      </c>
      <c r="E17">
        <v>5</v>
      </c>
      <c r="F17">
        <v>5</v>
      </c>
      <c r="G17">
        <v>10</v>
      </c>
    </row>
    <row r="18" spans="1:7" x14ac:dyDescent="0.25">
      <c r="A18" s="2" t="s">
        <v>57</v>
      </c>
      <c r="B18">
        <v>6</v>
      </c>
      <c r="C18">
        <v>5</v>
      </c>
      <c r="D18">
        <v>4</v>
      </c>
      <c r="E18">
        <v>2</v>
      </c>
      <c r="F18">
        <v>9</v>
      </c>
      <c r="G18">
        <v>12</v>
      </c>
    </row>
    <row r="19" spans="1:7" x14ac:dyDescent="0.25">
      <c r="A19" s="2" t="s">
        <v>23</v>
      </c>
      <c r="B19">
        <v>6</v>
      </c>
      <c r="C19">
        <v>2</v>
      </c>
      <c r="D19">
        <v>3</v>
      </c>
      <c r="E19">
        <v>9</v>
      </c>
      <c r="F19">
        <v>10</v>
      </c>
      <c r="G19">
        <v>8</v>
      </c>
    </row>
    <row r="20" spans="1:7" x14ac:dyDescent="0.25">
      <c r="A20" s="2" t="s">
        <v>21</v>
      </c>
      <c r="B20">
        <v>6</v>
      </c>
      <c r="C20">
        <v>5</v>
      </c>
      <c r="D20">
        <v>7</v>
      </c>
      <c r="E20">
        <v>4</v>
      </c>
      <c r="F20">
        <v>6</v>
      </c>
      <c r="G20">
        <v>10</v>
      </c>
    </row>
    <row r="21" spans="1:7" x14ac:dyDescent="0.25">
      <c r="A21" s="2" t="s">
        <v>36</v>
      </c>
      <c r="B21">
        <v>5</v>
      </c>
      <c r="C21">
        <v>4</v>
      </c>
      <c r="D21">
        <v>4</v>
      </c>
      <c r="E21">
        <v>3</v>
      </c>
      <c r="F21">
        <v>10</v>
      </c>
      <c r="G21">
        <v>12</v>
      </c>
    </row>
    <row r="22" spans="1:7" x14ac:dyDescent="0.25">
      <c r="A22" s="2" t="s">
        <v>27</v>
      </c>
      <c r="B22">
        <v>5</v>
      </c>
      <c r="C22">
        <v>2</v>
      </c>
      <c r="D22">
        <v>7</v>
      </c>
      <c r="E22">
        <v>3</v>
      </c>
      <c r="F22">
        <v>7</v>
      </c>
      <c r="G22">
        <v>14</v>
      </c>
    </row>
    <row r="23" spans="1:7" x14ac:dyDescent="0.25">
      <c r="A23" s="2" t="s">
        <v>28</v>
      </c>
      <c r="B23">
        <v>2</v>
      </c>
      <c r="C23">
        <v>4</v>
      </c>
      <c r="D23">
        <v>5</v>
      </c>
      <c r="E23">
        <v>2</v>
      </c>
      <c r="F23">
        <v>12</v>
      </c>
      <c r="G23">
        <v>13</v>
      </c>
    </row>
    <row r="24" spans="1:7" x14ac:dyDescent="0.25">
      <c r="A24" s="2" t="s">
        <v>62</v>
      </c>
      <c r="B24">
        <v>184</v>
      </c>
      <c r="C24">
        <v>109</v>
      </c>
      <c r="D24">
        <v>87</v>
      </c>
      <c r="E24">
        <v>87</v>
      </c>
      <c r="F24">
        <v>109</v>
      </c>
      <c r="G24">
        <v>184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6557C-66C7-4A0A-B1B0-62E810768F91}">
  <sheetPr codeName="Sheet3"/>
  <dimension ref="A1:J54"/>
  <sheetViews>
    <sheetView zoomScale="85" zoomScaleNormal="85" workbookViewId="0">
      <selection activeCell="B3" sqref="B3"/>
    </sheetView>
  </sheetViews>
  <sheetFormatPr defaultRowHeight="15" x14ac:dyDescent="0.25"/>
  <cols>
    <col min="1" max="1" width="15.5703125" bestFit="1" customWidth="1"/>
    <col min="2" max="2" width="13.5703125" bestFit="1" customWidth="1"/>
    <col min="3" max="3" width="18.42578125" bestFit="1" customWidth="1"/>
    <col min="4" max="4" width="20.140625" bestFit="1" customWidth="1"/>
    <col min="5" max="5" width="16.5703125" bestFit="1" customWidth="1"/>
    <col min="6" max="6" width="19.42578125" bestFit="1" customWidth="1"/>
    <col min="7" max="7" width="17.5703125" bestFit="1" customWidth="1"/>
    <col min="8" max="8" width="19.28515625" bestFit="1" customWidth="1"/>
    <col min="9" max="9" width="15.7109375" bestFit="1" customWidth="1"/>
    <col min="10" max="10" width="18.5703125" bestFit="1" customWidth="1"/>
  </cols>
  <sheetData>
    <row r="1" spans="1:10" x14ac:dyDescent="0.25">
      <c r="A1" s="1" t="s">
        <v>1</v>
      </c>
      <c r="B1" t="s">
        <v>72</v>
      </c>
    </row>
    <row r="3" spans="1:10" x14ac:dyDescent="0.25">
      <c r="A3" s="1" t="s">
        <v>61</v>
      </c>
      <c r="B3" s="3" t="s">
        <v>71</v>
      </c>
      <c r="C3" s="3" t="s">
        <v>63</v>
      </c>
      <c r="D3" s="3" t="s">
        <v>65</v>
      </c>
      <c r="E3" s="3" t="s">
        <v>66</v>
      </c>
      <c r="F3" s="3" t="s">
        <v>64</v>
      </c>
      <c r="G3" s="3" t="s">
        <v>67</v>
      </c>
      <c r="H3" s="3" t="s">
        <v>69</v>
      </c>
      <c r="I3" s="3" t="s">
        <v>70</v>
      </c>
      <c r="J3" s="3" t="s">
        <v>68</v>
      </c>
    </row>
    <row r="4" spans="1:10" x14ac:dyDescent="0.25">
      <c r="A4" s="2" t="s">
        <v>20</v>
      </c>
      <c r="B4" s="4">
        <v>2225</v>
      </c>
      <c r="C4" s="4">
        <v>382</v>
      </c>
      <c r="D4" s="4">
        <v>79</v>
      </c>
      <c r="E4" s="4">
        <v>693</v>
      </c>
      <c r="F4" s="4">
        <v>134</v>
      </c>
      <c r="G4" s="4">
        <v>263</v>
      </c>
      <c r="H4" s="4">
        <v>176</v>
      </c>
      <c r="I4" s="4">
        <v>221</v>
      </c>
      <c r="J4" s="4">
        <v>156</v>
      </c>
    </row>
    <row r="5" spans="1:10" x14ac:dyDescent="0.25">
      <c r="A5" s="2" t="s">
        <v>12</v>
      </c>
      <c r="B5" s="4">
        <v>1419</v>
      </c>
      <c r="C5" s="4">
        <v>220</v>
      </c>
      <c r="D5" s="4">
        <v>165</v>
      </c>
      <c r="E5" s="4">
        <v>119</v>
      </c>
      <c r="F5" s="4">
        <v>153</v>
      </c>
      <c r="G5" s="4">
        <v>152</v>
      </c>
      <c r="H5" s="4">
        <v>236</v>
      </c>
      <c r="I5" s="4">
        <v>-202</v>
      </c>
      <c r="J5" s="4">
        <v>150</v>
      </c>
    </row>
    <row r="6" spans="1:10" x14ac:dyDescent="0.25">
      <c r="A6" s="2" t="s">
        <v>40</v>
      </c>
      <c r="B6" s="4">
        <v>35</v>
      </c>
      <c r="C6" s="4">
        <v>7</v>
      </c>
      <c r="D6" s="4">
        <v>8</v>
      </c>
      <c r="E6" s="4">
        <v>-10</v>
      </c>
      <c r="F6" s="4">
        <v>4</v>
      </c>
      <c r="G6" s="4">
        <v>3</v>
      </c>
      <c r="H6" s="4">
        <v>15</v>
      </c>
      <c r="I6" s="4">
        <v>-35</v>
      </c>
      <c r="J6" s="4">
        <v>1</v>
      </c>
    </row>
    <row r="7" spans="1:10" x14ac:dyDescent="0.25">
      <c r="A7" s="2" t="s">
        <v>45</v>
      </c>
      <c r="B7" s="4">
        <v>301</v>
      </c>
      <c r="C7" s="4">
        <v>50</v>
      </c>
      <c r="D7" s="4">
        <v>37</v>
      </c>
      <c r="E7" s="4">
        <v>22</v>
      </c>
      <c r="F7" s="4">
        <v>46</v>
      </c>
      <c r="G7" s="4">
        <v>23</v>
      </c>
      <c r="H7" s="4">
        <v>74</v>
      </c>
      <c r="I7" s="4">
        <v>-109</v>
      </c>
      <c r="J7" s="4">
        <v>36</v>
      </c>
    </row>
    <row r="8" spans="1:10" x14ac:dyDescent="0.25">
      <c r="A8" s="2" t="s">
        <v>14</v>
      </c>
      <c r="B8" s="4">
        <v>970</v>
      </c>
      <c r="C8" s="4">
        <v>169</v>
      </c>
      <c r="D8" s="4">
        <v>94</v>
      </c>
      <c r="E8" s="4">
        <v>164</v>
      </c>
      <c r="F8" s="4">
        <v>85</v>
      </c>
      <c r="G8" s="4">
        <v>93</v>
      </c>
      <c r="H8" s="4">
        <v>156</v>
      </c>
      <c r="I8" s="4">
        <v>-144</v>
      </c>
      <c r="J8" s="4">
        <v>99</v>
      </c>
    </row>
    <row r="9" spans="1:10" x14ac:dyDescent="0.25">
      <c r="A9" s="2" t="s">
        <v>54</v>
      </c>
      <c r="B9" s="4">
        <v>39</v>
      </c>
      <c r="C9" s="4">
        <v>5</v>
      </c>
      <c r="D9" s="4">
        <v>9</v>
      </c>
      <c r="E9" s="4">
        <v>-7</v>
      </c>
      <c r="F9" s="4">
        <v>5</v>
      </c>
      <c r="G9" s="4">
        <v>5</v>
      </c>
      <c r="H9" s="4">
        <v>10</v>
      </c>
      <c r="I9" s="4">
        <v>-16</v>
      </c>
      <c r="J9" s="4">
        <v>4</v>
      </c>
    </row>
    <row r="10" spans="1:10" x14ac:dyDescent="0.25">
      <c r="A10" s="2" t="s">
        <v>37</v>
      </c>
      <c r="B10" s="4">
        <v>575</v>
      </c>
      <c r="C10" s="4">
        <v>93</v>
      </c>
      <c r="D10" s="4">
        <v>79</v>
      </c>
      <c r="E10" s="4">
        <v>6</v>
      </c>
      <c r="F10" s="4">
        <v>75</v>
      </c>
      <c r="G10" s="4">
        <v>56</v>
      </c>
      <c r="H10" s="4">
        <v>138</v>
      </c>
      <c r="I10" s="4">
        <v>-176</v>
      </c>
      <c r="J10" s="4">
        <v>53</v>
      </c>
    </row>
    <row r="11" spans="1:10" x14ac:dyDescent="0.25">
      <c r="A11" s="2" t="s">
        <v>57</v>
      </c>
      <c r="B11" s="4">
        <v>250</v>
      </c>
      <c r="C11" s="4">
        <v>40</v>
      </c>
      <c r="D11" s="4">
        <v>45</v>
      </c>
      <c r="E11" s="4">
        <v>-20</v>
      </c>
      <c r="F11" s="4">
        <v>29</v>
      </c>
      <c r="G11" s="4">
        <v>27</v>
      </c>
      <c r="H11" s="4">
        <v>67</v>
      </c>
      <c r="I11" s="4">
        <v>-103</v>
      </c>
      <c r="J11" s="4">
        <v>20</v>
      </c>
    </row>
    <row r="12" spans="1:10" x14ac:dyDescent="0.25">
      <c r="A12" s="2" t="s">
        <v>42</v>
      </c>
      <c r="B12" s="4">
        <v>62</v>
      </c>
      <c r="C12" s="4">
        <v>10</v>
      </c>
      <c r="D12" s="4">
        <v>13</v>
      </c>
      <c r="E12" s="4">
        <v>-12</v>
      </c>
      <c r="F12" s="4">
        <v>15</v>
      </c>
      <c r="G12" s="4">
        <v>4</v>
      </c>
      <c r="H12" s="4">
        <v>29</v>
      </c>
      <c r="I12" s="4">
        <v>-58</v>
      </c>
      <c r="J12" s="4">
        <v>5</v>
      </c>
    </row>
    <row r="13" spans="1:10" x14ac:dyDescent="0.25">
      <c r="A13" s="2" t="s">
        <v>60</v>
      </c>
      <c r="B13" s="4">
        <v>105</v>
      </c>
      <c r="C13" s="4">
        <v>17</v>
      </c>
      <c r="D13" s="4">
        <v>11</v>
      </c>
      <c r="E13" s="4">
        <v>18</v>
      </c>
      <c r="F13" s="4">
        <v>10</v>
      </c>
      <c r="G13" s="4">
        <v>11</v>
      </c>
      <c r="H13" s="4">
        <v>16</v>
      </c>
      <c r="I13" s="4">
        <v>-14</v>
      </c>
      <c r="J13" s="4">
        <v>11</v>
      </c>
    </row>
    <row r="14" spans="1:10" x14ac:dyDescent="0.25">
      <c r="A14" s="2" t="s">
        <v>58</v>
      </c>
      <c r="B14" s="4">
        <v>271</v>
      </c>
      <c r="C14" s="4">
        <v>37</v>
      </c>
      <c r="D14" s="4">
        <v>37</v>
      </c>
      <c r="E14" s="4">
        <v>-5</v>
      </c>
      <c r="F14" s="4">
        <v>40</v>
      </c>
      <c r="G14" s="4">
        <v>29</v>
      </c>
      <c r="H14" s="4">
        <v>52</v>
      </c>
      <c r="I14" s="4">
        <v>-44</v>
      </c>
      <c r="J14" s="4">
        <v>33</v>
      </c>
    </row>
    <row r="15" spans="1:10" x14ac:dyDescent="0.25">
      <c r="A15" s="2" t="s">
        <v>53</v>
      </c>
      <c r="B15" s="4">
        <v>325</v>
      </c>
      <c r="C15" s="4">
        <v>52</v>
      </c>
      <c r="D15" s="4">
        <v>62</v>
      </c>
      <c r="E15" s="4">
        <v>-34</v>
      </c>
      <c r="F15" s="4">
        <v>38</v>
      </c>
      <c r="G15" s="4">
        <v>31</v>
      </c>
      <c r="H15" s="4">
        <v>83</v>
      </c>
      <c r="I15" s="4">
        <v>-121</v>
      </c>
      <c r="J15" s="4">
        <v>38</v>
      </c>
    </row>
    <row r="16" spans="1:10" x14ac:dyDescent="0.25">
      <c r="A16" s="2" t="s">
        <v>56</v>
      </c>
      <c r="B16" s="4">
        <v>64</v>
      </c>
      <c r="C16" s="4">
        <v>11</v>
      </c>
      <c r="D16" s="4">
        <v>20</v>
      </c>
      <c r="E16" s="4">
        <v>-32</v>
      </c>
      <c r="F16" s="4">
        <v>7</v>
      </c>
      <c r="G16" s="4">
        <v>6</v>
      </c>
      <c r="H16" s="4">
        <v>26</v>
      </c>
      <c r="I16" s="4">
        <v>-45</v>
      </c>
      <c r="J16" s="4">
        <v>6</v>
      </c>
    </row>
    <row r="17" spans="1:10" x14ac:dyDescent="0.25">
      <c r="A17" s="2" t="s">
        <v>41</v>
      </c>
      <c r="B17" s="4">
        <v>361</v>
      </c>
      <c r="C17" s="4">
        <v>58</v>
      </c>
      <c r="D17" s="4">
        <v>54</v>
      </c>
      <c r="E17" s="4">
        <v>1</v>
      </c>
      <c r="F17" s="4">
        <v>40</v>
      </c>
      <c r="G17" s="4">
        <v>35</v>
      </c>
      <c r="H17" s="4">
        <v>75</v>
      </c>
      <c r="I17" s="4">
        <v>-101</v>
      </c>
      <c r="J17" s="4">
        <v>42</v>
      </c>
    </row>
    <row r="18" spans="1:10" x14ac:dyDescent="0.25">
      <c r="A18" s="2" t="s">
        <v>21</v>
      </c>
      <c r="B18" s="4">
        <v>2182</v>
      </c>
      <c r="C18" s="4">
        <v>360</v>
      </c>
      <c r="D18" s="4">
        <v>85</v>
      </c>
      <c r="E18" s="4">
        <v>637</v>
      </c>
      <c r="F18" s="4">
        <v>150</v>
      </c>
      <c r="G18" s="4">
        <v>269</v>
      </c>
      <c r="H18" s="4">
        <v>181</v>
      </c>
      <c r="I18" s="4">
        <v>202</v>
      </c>
      <c r="J18" s="4">
        <v>145</v>
      </c>
    </row>
    <row r="19" spans="1:10" x14ac:dyDescent="0.25">
      <c r="A19" s="2" t="s">
        <v>26</v>
      </c>
      <c r="B19" s="4">
        <v>409</v>
      </c>
      <c r="C19" s="4">
        <v>65</v>
      </c>
      <c r="D19" s="4">
        <v>56</v>
      </c>
      <c r="E19" s="4">
        <v>20</v>
      </c>
      <c r="F19" s="4">
        <v>56</v>
      </c>
      <c r="G19" s="4">
        <v>34</v>
      </c>
      <c r="H19" s="4">
        <v>87</v>
      </c>
      <c r="I19" s="4">
        <v>-123</v>
      </c>
      <c r="J19" s="4">
        <v>56</v>
      </c>
    </row>
    <row r="20" spans="1:10" x14ac:dyDescent="0.25">
      <c r="A20" s="2" t="s">
        <v>29</v>
      </c>
      <c r="B20" s="4">
        <v>609</v>
      </c>
      <c r="C20" s="4">
        <v>84</v>
      </c>
      <c r="D20" s="4">
        <v>115</v>
      </c>
      <c r="E20" s="4">
        <v>-54</v>
      </c>
      <c r="F20" s="4">
        <v>71</v>
      </c>
      <c r="G20" s="4">
        <v>72</v>
      </c>
      <c r="H20" s="4">
        <v>128</v>
      </c>
      <c r="I20" s="4">
        <v>-134</v>
      </c>
      <c r="J20" s="4">
        <v>70</v>
      </c>
    </row>
    <row r="21" spans="1:10" x14ac:dyDescent="0.25">
      <c r="A21" s="2" t="s">
        <v>38</v>
      </c>
      <c r="B21" s="4">
        <v>274</v>
      </c>
      <c r="C21" s="4">
        <v>48</v>
      </c>
      <c r="D21" s="4">
        <v>50</v>
      </c>
      <c r="E21" s="4">
        <v>-20</v>
      </c>
      <c r="F21" s="4">
        <v>35</v>
      </c>
      <c r="G21" s="4">
        <v>20</v>
      </c>
      <c r="H21" s="4">
        <v>78</v>
      </c>
      <c r="I21" s="4">
        <v>-129</v>
      </c>
      <c r="J21" s="4">
        <v>35</v>
      </c>
    </row>
    <row r="22" spans="1:10" x14ac:dyDescent="0.25">
      <c r="A22" s="2" t="s">
        <v>23</v>
      </c>
      <c r="B22" s="4">
        <v>1610</v>
      </c>
      <c r="C22" s="4">
        <v>273</v>
      </c>
      <c r="D22" s="4">
        <v>165</v>
      </c>
      <c r="E22" s="4">
        <v>230</v>
      </c>
      <c r="F22" s="4">
        <v>157</v>
      </c>
      <c r="G22" s="4">
        <v>153</v>
      </c>
      <c r="H22" s="4">
        <v>267</v>
      </c>
      <c r="I22" s="4">
        <v>-243</v>
      </c>
      <c r="J22" s="4">
        <v>175</v>
      </c>
    </row>
    <row r="23" spans="1:10" x14ac:dyDescent="0.25">
      <c r="A23" s="2" t="s">
        <v>44</v>
      </c>
      <c r="B23" s="4">
        <v>692</v>
      </c>
      <c r="C23" s="4">
        <v>128</v>
      </c>
      <c r="D23" s="4">
        <v>108</v>
      </c>
      <c r="E23" s="4">
        <v>19</v>
      </c>
      <c r="F23" s="4">
        <v>68</v>
      </c>
      <c r="G23" s="4">
        <v>49</v>
      </c>
      <c r="H23" s="4">
        <v>162</v>
      </c>
      <c r="I23" s="4">
        <v>-217</v>
      </c>
      <c r="J23" s="4">
        <v>93</v>
      </c>
    </row>
    <row r="24" spans="1:10" x14ac:dyDescent="0.25">
      <c r="A24" s="2" t="s">
        <v>59</v>
      </c>
      <c r="B24" s="4">
        <v>53</v>
      </c>
      <c r="C24" s="4">
        <v>8</v>
      </c>
      <c r="D24" s="4">
        <v>22</v>
      </c>
      <c r="E24" s="4">
        <v>-30</v>
      </c>
      <c r="F24" s="4">
        <v>8</v>
      </c>
      <c r="G24" s="4">
        <v>4</v>
      </c>
      <c r="H24" s="4">
        <v>25</v>
      </c>
      <c r="I24" s="4">
        <v>-54</v>
      </c>
      <c r="J24" s="4">
        <v>9</v>
      </c>
    </row>
    <row r="25" spans="1:10" x14ac:dyDescent="0.25">
      <c r="A25" s="2" t="s">
        <v>52</v>
      </c>
      <c r="B25" s="4">
        <v>171</v>
      </c>
      <c r="C25" s="4">
        <v>29</v>
      </c>
      <c r="D25" s="4">
        <v>42</v>
      </c>
      <c r="E25" s="4">
        <v>-38</v>
      </c>
      <c r="F25" s="4">
        <v>24</v>
      </c>
      <c r="G25" s="4">
        <v>12</v>
      </c>
      <c r="H25" s="4">
        <v>59</v>
      </c>
      <c r="I25" s="4">
        <v>-104</v>
      </c>
      <c r="J25" s="4">
        <v>24</v>
      </c>
    </row>
    <row r="26" spans="1:10" x14ac:dyDescent="0.25">
      <c r="A26" s="2" t="s">
        <v>24</v>
      </c>
      <c r="B26" s="4">
        <v>224</v>
      </c>
      <c r="C26" s="4">
        <v>35</v>
      </c>
      <c r="D26" s="4">
        <v>37</v>
      </c>
      <c r="E26" s="4">
        <v>-2</v>
      </c>
      <c r="F26" s="4">
        <v>29</v>
      </c>
      <c r="G26" s="4">
        <v>22</v>
      </c>
      <c r="H26" s="4">
        <v>55</v>
      </c>
      <c r="I26" s="4">
        <v>-91</v>
      </c>
      <c r="J26" s="4">
        <v>24</v>
      </c>
    </row>
    <row r="27" spans="1:10" x14ac:dyDescent="0.25">
      <c r="A27" s="2" t="s">
        <v>27</v>
      </c>
      <c r="B27" s="4">
        <v>820</v>
      </c>
      <c r="C27" s="4">
        <v>135</v>
      </c>
      <c r="D27" s="4">
        <v>78</v>
      </c>
      <c r="E27" s="4">
        <v>103</v>
      </c>
      <c r="F27" s="4">
        <v>78</v>
      </c>
      <c r="G27" s="4">
        <v>88</v>
      </c>
      <c r="H27" s="4">
        <v>130</v>
      </c>
      <c r="I27" s="4">
        <v>-94</v>
      </c>
      <c r="J27" s="4">
        <v>73</v>
      </c>
    </row>
    <row r="28" spans="1:10" x14ac:dyDescent="0.25">
      <c r="A28" s="2" t="s">
        <v>36</v>
      </c>
      <c r="B28" s="4">
        <v>821</v>
      </c>
      <c r="C28" s="4">
        <v>130</v>
      </c>
      <c r="D28" s="4">
        <v>107</v>
      </c>
      <c r="E28" s="4">
        <v>42</v>
      </c>
      <c r="F28" s="4">
        <v>88</v>
      </c>
      <c r="G28" s="4">
        <v>88</v>
      </c>
      <c r="H28" s="4">
        <v>158</v>
      </c>
      <c r="I28" s="4">
        <v>-107</v>
      </c>
      <c r="J28" s="4">
        <v>79</v>
      </c>
    </row>
    <row r="29" spans="1:10" x14ac:dyDescent="0.25">
      <c r="A29" s="2" t="s">
        <v>17</v>
      </c>
      <c r="B29" s="4">
        <v>2176</v>
      </c>
      <c r="C29" s="4">
        <v>376</v>
      </c>
      <c r="D29" s="4">
        <v>77</v>
      </c>
      <c r="E29" s="4">
        <v>727</v>
      </c>
      <c r="F29" s="4">
        <v>142</v>
      </c>
      <c r="G29" s="4">
        <v>252</v>
      </c>
      <c r="H29" s="4">
        <v>193</v>
      </c>
      <c r="I29" s="4">
        <v>175</v>
      </c>
      <c r="J29" s="4">
        <v>150</v>
      </c>
    </row>
    <row r="30" spans="1:10" x14ac:dyDescent="0.25">
      <c r="A30" s="2" t="s">
        <v>19</v>
      </c>
      <c r="B30" s="4">
        <v>1718</v>
      </c>
      <c r="C30" s="4">
        <v>297</v>
      </c>
      <c r="D30" s="4">
        <v>105</v>
      </c>
      <c r="E30" s="4">
        <v>542</v>
      </c>
      <c r="F30" s="4">
        <v>98</v>
      </c>
      <c r="G30" s="4">
        <v>204</v>
      </c>
      <c r="H30" s="4">
        <v>179</v>
      </c>
      <c r="I30" s="4">
        <v>109</v>
      </c>
      <c r="J30" s="4">
        <v>117</v>
      </c>
    </row>
    <row r="31" spans="1:10" x14ac:dyDescent="0.25">
      <c r="A31" s="2" t="s">
        <v>11</v>
      </c>
      <c r="B31" s="4">
        <v>2441</v>
      </c>
      <c r="C31" s="4">
        <v>417</v>
      </c>
      <c r="D31" s="4">
        <v>65</v>
      </c>
      <c r="E31" s="4">
        <v>812</v>
      </c>
      <c r="F31" s="4">
        <v>113</v>
      </c>
      <c r="G31" s="4">
        <v>309</v>
      </c>
      <c r="H31" s="4">
        <v>136</v>
      </c>
      <c r="I31" s="4">
        <v>322</v>
      </c>
      <c r="J31" s="4">
        <v>150</v>
      </c>
    </row>
    <row r="32" spans="1:10" x14ac:dyDescent="0.25">
      <c r="A32" s="2" t="s">
        <v>31</v>
      </c>
      <c r="B32" s="4">
        <v>664</v>
      </c>
      <c r="C32" s="4">
        <v>110</v>
      </c>
      <c r="D32" s="4">
        <v>93</v>
      </c>
      <c r="E32" s="4">
        <v>38</v>
      </c>
      <c r="F32" s="4">
        <v>84</v>
      </c>
      <c r="G32" s="4">
        <v>55</v>
      </c>
      <c r="H32" s="4">
        <v>147</v>
      </c>
      <c r="I32" s="4">
        <v>-184</v>
      </c>
      <c r="J32" s="4">
        <v>85</v>
      </c>
    </row>
    <row r="33" spans="1:10" x14ac:dyDescent="0.25">
      <c r="A33" s="2" t="s">
        <v>33</v>
      </c>
      <c r="B33" s="4">
        <v>1481</v>
      </c>
      <c r="C33" s="4">
        <v>264</v>
      </c>
      <c r="D33" s="4">
        <v>138</v>
      </c>
      <c r="E33" s="4">
        <v>262</v>
      </c>
      <c r="F33" s="4">
        <v>134</v>
      </c>
      <c r="G33" s="4">
        <v>137</v>
      </c>
      <c r="H33" s="4">
        <v>255</v>
      </c>
      <c r="I33" s="4">
        <v>-267</v>
      </c>
      <c r="J33" s="4">
        <v>144</v>
      </c>
    </row>
    <row r="34" spans="1:10" x14ac:dyDescent="0.25">
      <c r="A34" s="2" t="s">
        <v>13</v>
      </c>
      <c r="B34" s="4">
        <v>402</v>
      </c>
      <c r="C34" s="4">
        <v>66</v>
      </c>
      <c r="D34" s="4">
        <v>72</v>
      </c>
      <c r="E34" s="4">
        <v>-39</v>
      </c>
      <c r="F34" s="4">
        <v>58</v>
      </c>
      <c r="G34" s="4">
        <v>33</v>
      </c>
      <c r="H34" s="4">
        <v>116</v>
      </c>
      <c r="I34" s="4">
        <v>-216</v>
      </c>
      <c r="J34" s="4">
        <v>47</v>
      </c>
    </row>
    <row r="35" spans="1:10" x14ac:dyDescent="0.25">
      <c r="A35" s="2" t="s">
        <v>32</v>
      </c>
      <c r="B35" s="4">
        <v>277</v>
      </c>
      <c r="C35" s="4">
        <v>43</v>
      </c>
      <c r="D35" s="4">
        <v>37</v>
      </c>
      <c r="E35" s="4">
        <v>0</v>
      </c>
      <c r="F35" s="4">
        <v>38</v>
      </c>
      <c r="G35" s="4">
        <v>26</v>
      </c>
      <c r="H35" s="4">
        <v>60</v>
      </c>
      <c r="I35" s="4">
        <v>-88</v>
      </c>
      <c r="J35" s="4">
        <v>32</v>
      </c>
    </row>
    <row r="36" spans="1:10" x14ac:dyDescent="0.25">
      <c r="A36" s="2" t="s">
        <v>30</v>
      </c>
      <c r="B36" s="4">
        <v>89</v>
      </c>
      <c r="C36" s="4">
        <v>15</v>
      </c>
      <c r="D36" s="4">
        <v>13</v>
      </c>
      <c r="E36" s="4">
        <v>4</v>
      </c>
      <c r="F36" s="4">
        <v>14</v>
      </c>
      <c r="G36" s="4">
        <v>7</v>
      </c>
      <c r="H36" s="4">
        <v>26</v>
      </c>
      <c r="I36" s="4">
        <v>-41</v>
      </c>
      <c r="J36" s="4">
        <v>9</v>
      </c>
    </row>
    <row r="37" spans="1:10" x14ac:dyDescent="0.25">
      <c r="A37" s="2" t="s">
        <v>47</v>
      </c>
      <c r="B37" s="4">
        <v>302</v>
      </c>
      <c r="C37" s="4">
        <v>54</v>
      </c>
      <c r="D37" s="4">
        <v>45</v>
      </c>
      <c r="E37" s="4">
        <v>25</v>
      </c>
      <c r="F37" s="4">
        <v>34</v>
      </c>
      <c r="G37" s="4">
        <v>25</v>
      </c>
      <c r="H37" s="4">
        <v>77</v>
      </c>
      <c r="I37" s="4">
        <v>-113</v>
      </c>
      <c r="J37" s="4">
        <v>31</v>
      </c>
    </row>
    <row r="38" spans="1:10" x14ac:dyDescent="0.25">
      <c r="A38" s="2" t="s">
        <v>15</v>
      </c>
      <c r="B38" s="4">
        <v>308</v>
      </c>
      <c r="C38" s="4">
        <v>51</v>
      </c>
      <c r="D38" s="4">
        <v>50</v>
      </c>
      <c r="E38" s="4">
        <v>4</v>
      </c>
      <c r="F38" s="4">
        <v>38</v>
      </c>
      <c r="G38" s="4">
        <v>30</v>
      </c>
      <c r="H38" s="4">
        <v>82</v>
      </c>
      <c r="I38" s="4">
        <v>-96</v>
      </c>
      <c r="J38" s="4">
        <v>27</v>
      </c>
    </row>
    <row r="39" spans="1:10" x14ac:dyDescent="0.25">
      <c r="A39" s="2" t="s">
        <v>50</v>
      </c>
      <c r="B39" s="4">
        <v>119</v>
      </c>
      <c r="C39" s="4">
        <v>23</v>
      </c>
      <c r="D39" s="4">
        <v>22</v>
      </c>
      <c r="E39" s="4">
        <v>-7</v>
      </c>
      <c r="F39" s="4">
        <v>12</v>
      </c>
      <c r="G39" s="4">
        <v>9</v>
      </c>
      <c r="H39" s="4">
        <v>37</v>
      </c>
      <c r="I39" s="4">
        <v>-43</v>
      </c>
      <c r="J39" s="4">
        <v>11</v>
      </c>
    </row>
    <row r="40" spans="1:10" x14ac:dyDescent="0.25">
      <c r="A40" s="2" t="s">
        <v>25</v>
      </c>
      <c r="B40" s="4">
        <v>209</v>
      </c>
      <c r="C40" s="4">
        <v>38</v>
      </c>
      <c r="D40" s="4">
        <v>35</v>
      </c>
      <c r="E40" s="4">
        <v>12</v>
      </c>
      <c r="F40" s="4">
        <v>26</v>
      </c>
      <c r="G40" s="4">
        <v>15</v>
      </c>
      <c r="H40" s="4">
        <v>60</v>
      </c>
      <c r="I40" s="4">
        <v>-95</v>
      </c>
      <c r="J40" s="4">
        <v>24</v>
      </c>
    </row>
    <row r="41" spans="1:10" x14ac:dyDescent="0.25">
      <c r="A41" s="2" t="s">
        <v>18</v>
      </c>
      <c r="B41" s="4">
        <v>392</v>
      </c>
      <c r="C41" s="4">
        <v>63</v>
      </c>
      <c r="D41" s="4">
        <v>45</v>
      </c>
      <c r="E41" s="4">
        <v>47</v>
      </c>
      <c r="F41" s="4">
        <v>50</v>
      </c>
      <c r="G41" s="4">
        <v>38</v>
      </c>
      <c r="H41" s="4">
        <v>81</v>
      </c>
      <c r="I41" s="4">
        <v>-91</v>
      </c>
      <c r="J41" s="4">
        <v>39</v>
      </c>
    </row>
    <row r="42" spans="1:10" x14ac:dyDescent="0.25">
      <c r="A42" s="2" t="s">
        <v>28</v>
      </c>
      <c r="B42" s="4">
        <v>1088</v>
      </c>
      <c r="C42" s="4">
        <v>180</v>
      </c>
      <c r="D42" s="4">
        <v>153</v>
      </c>
      <c r="E42" s="4">
        <v>68</v>
      </c>
      <c r="F42" s="4">
        <v>129</v>
      </c>
      <c r="G42" s="4">
        <v>100</v>
      </c>
      <c r="H42" s="4">
        <v>243</v>
      </c>
      <c r="I42" s="4">
        <v>-309</v>
      </c>
      <c r="J42" s="4">
        <v>119</v>
      </c>
    </row>
    <row r="43" spans="1:10" x14ac:dyDescent="0.25">
      <c r="A43" s="2" t="s">
        <v>51</v>
      </c>
      <c r="B43" s="4">
        <v>457</v>
      </c>
      <c r="C43" s="4">
        <v>81</v>
      </c>
      <c r="D43" s="4">
        <v>55</v>
      </c>
      <c r="E43" s="4">
        <v>35</v>
      </c>
      <c r="F43" s="4">
        <v>54</v>
      </c>
      <c r="G43" s="4">
        <v>35</v>
      </c>
      <c r="H43" s="4">
        <v>100</v>
      </c>
      <c r="I43" s="4">
        <v>-162</v>
      </c>
      <c r="J43" s="4">
        <v>55</v>
      </c>
    </row>
    <row r="44" spans="1:10" x14ac:dyDescent="0.25">
      <c r="A44" s="2" t="s">
        <v>39</v>
      </c>
      <c r="B44" s="4">
        <v>618</v>
      </c>
      <c r="C44" s="4">
        <v>98</v>
      </c>
      <c r="D44" s="4">
        <v>119</v>
      </c>
      <c r="E44" s="4">
        <v>-35</v>
      </c>
      <c r="F44" s="4">
        <v>87</v>
      </c>
      <c r="G44" s="4">
        <v>55</v>
      </c>
      <c r="H44" s="4">
        <v>177</v>
      </c>
      <c r="I44" s="4">
        <v>-257</v>
      </c>
      <c r="J44" s="4">
        <v>72</v>
      </c>
    </row>
    <row r="45" spans="1:10" x14ac:dyDescent="0.25">
      <c r="A45" s="2" t="s">
        <v>55</v>
      </c>
      <c r="B45" s="4">
        <v>312</v>
      </c>
      <c r="C45" s="4">
        <v>51</v>
      </c>
      <c r="D45" s="4">
        <v>45</v>
      </c>
      <c r="E45" s="4">
        <v>9</v>
      </c>
      <c r="F45" s="4">
        <v>37</v>
      </c>
      <c r="G45" s="4">
        <v>31</v>
      </c>
      <c r="H45" s="4">
        <v>73</v>
      </c>
      <c r="I45" s="4">
        <v>-86</v>
      </c>
      <c r="J45" s="4">
        <v>29</v>
      </c>
    </row>
    <row r="46" spans="1:10" x14ac:dyDescent="0.25">
      <c r="A46" s="2" t="s">
        <v>35</v>
      </c>
      <c r="B46" s="4">
        <v>30</v>
      </c>
      <c r="C46" s="4">
        <v>4</v>
      </c>
      <c r="D46" s="4">
        <v>10</v>
      </c>
      <c r="E46" s="4">
        <v>-20</v>
      </c>
      <c r="F46" s="4">
        <v>7</v>
      </c>
      <c r="G46" s="4">
        <v>1</v>
      </c>
      <c r="H46" s="4">
        <v>12</v>
      </c>
      <c r="I46" s="4">
        <v>-33</v>
      </c>
      <c r="J46" s="4">
        <v>8</v>
      </c>
    </row>
    <row r="47" spans="1:10" x14ac:dyDescent="0.25">
      <c r="A47" s="2" t="s">
        <v>16</v>
      </c>
      <c r="B47" s="4">
        <v>1847</v>
      </c>
      <c r="C47" s="4">
        <v>323</v>
      </c>
      <c r="D47" s="4">
        <v>139</v>
      </c>
      <c r="E47" s="4">
        <v>389</v>
      </c>
      <c r="F47" s="4">
        <v>133</v>
      </c>
      <c r="G47" s="4">
        <v>197</v>
      </c>
      <c r="H47" s="4">
        <v>244</v>
      </c>
      <c r="I47" s="4">
        <v>-75</v>
      </c>
      <c r="J47" s="4">
        <v>154</v>
      </c>
    </row>
    <row r="48" spans="1:10" x14ac:dyDescent="0.25">
      <c r="A48" s="2" t="s">
        <v>43</v>
      </c>
      <c r="B48" s="4">
        <v>285</v>
      </c>
      <c r="C48" s="4">
        <v>45</v>
      </c>
      <c r="D48" s="4">
        <v>67</v>
      </c>
      <c r="E48" s="4">
        <v>-56</v>
      </c>
      <c r="F48" s="4">
        <v>40</v>
      </c>
      <c r="G48" s="4">
        <v>28</v>
      </c>
      <c r="H48" s="4">
        <v>98</v>
      </c>
      <c r="I48" s="4">
        <v>-152</v>
      </c>
      <c r="J48" s="4">
        <v>26</v>
      </c>
    </row>
    <row r="49" spans="1:10" x14ac:dyDescent="0.25">
      <c r="A49" s="2" t="s">
        <v>46</v>
      </c>
      <c r="B49" s="4">
        <v>490</v>
      </c>
      <c r="C49" s="4">
        <v>76</v>
      </c>
      <c r="D49" s="4">
        <v>105</v>
      </c>
      <c r="E49" s="4">
        <v>-66</v>
      </c>
      <c r="F49" s="4">
        <v>66</v>
      </c>
      <c r="G49" s="4">
        <v>41</v>
      </c>
      <c r="H49" s="4">
        <v>133</v>
      </c>
      <c r="I49" s="4">
        <v>-196</v>
      </c>
      <c r="J49" s="4">
        <v>73</v>
      </c>
    </row>
    <row r="50" spans="1:10" x14ac:dyDescent="0.25">
      <c r="A50" s="2" t="s">
        <v>34</v>
      </c>
      <c r="B50" s="4">
        <v>1298</v>
      </c>
      <c r="C50" s="4">
        <v>224</v>
      </c>
      <c r="D50" s="4">
        <v>165</v>
      </c>
      <c r="E50" s="4">
        <v>97</v>
      </c>
      <c r="F50" s="4">
        <v>128</v>
      </c>
      <c r="G50" s="4">
        <v>122</v>
      </c>
      <c r="H50" s="4">
        <v>263</v>
      </c>
      <c r="I50" s="4">
        <v>-304</v>
      </c>
      <c r="J50" s="4">
        <v>132</v>
      </c>
    </row>
    <row r="51" spans="1:10" x14ac:dyDescent="0.25">
      <c r="A51" s="2" t="s">
        <v>49</v>
      </c>
      <c r="B51" s="4">
        <v>331</v>
      </c>
      <c r="C51" s="4">
        <v>48</v>
      </c>
      <c r="D51" s="4">
        <v>59</v>
      </c>
      <c r="E51" s="4">
        <v>-46</v>
      </c>
      <c r="F51" s="4">
        <v>45</v>
      </c>
      <c r="G51" s="4">
        <v>37</v>
      </c>
      <c r="H51" s="4">
        <v>84</v>
      </c>
      <c r="I51" s="4">
        <v>-120</v>
      </c>
      <c r="J51" s="4">
        <v>31</v>
      </c>
    </row>
    <row r="52" spans="1:10" x14ac:dyDescent="0.25">
      <c r="A52" s="2" t="s">
        <v>22</v>
      </c>
      <c r="B52" s="4">
        <v>391</v>
      </c>
      <c r="C52" s="4">
        <v>62</v>
      </c>
      <c r="D52" s="4">
        <v>50</v>
      </c>
      <c r="E52" s="4">
        <v>20</v>
      </c>
      <c r="F52" s="4">
        <v>46</v>
      </c>
      <c r="G52" s="4">
        <v>37</v>
      </c>
      <c r="H52" s="4">
        <v>73</v>
      </c>
      <c r="I52" s="4">
        <v>-108</v>
      </c>
      <c r="J52" s="4">
        <v>48</v>
      </c>
    </row>
    <row r="53" spans="1:10" x14ac:dyDescent="0.25">
      <c r="A53" s="2" t="s">
        <v>48</v>
      </c>
      <c r="B53" s="4">
        <v>389</v>
      </c>
      <c r="C53" s="4">
        <v>64</v>
      </c>
      <c r="D53" s="4">
        <v>68</v>
      </c>
      <c r="E53" s="4">
        <v>-40</v>
      </c>
      <c r="F53" s="4">
        <v>39</v>
      </c>
      <c r="G53" s="4">
        <v>37</v>
      </c>
      <c r="H53" s="4">
        <v>87</v>
      </c>
      <c r="I53" s="4">
        <v>-121</v>
      </c>
      <c r="J53" s="4">
        <v>47</v>
      </c>
    </row>
    <row r="54" spans="1:10" x14ac:dyDescent="0.25">
      <c r="A54" s="2" t="s">
        <v>62</v>
      </c>
      <c r="B54" s="4">
        <v>32981</v>
      </c>
      <c r="C54" s="4">
        <v>5519</v>
      </c>
      <c r="D54" s="4">
        <v>3410</v>
      </c>
      <c r="E54" s="4">
        <v>4592</v>
      </c>
      <c r="F54" s="4">
        <v>3097</v>
      </c>
      <c r="G54" s="4">
        <v>3410</v>
      </c>
      <c r="H54" s="4">
        <v>5519</v>
      </c>
      <c r="I54" s="4">
        <v>-4592</v>
      </c>
      <c r="J54" s="4">
        <v>3097</v>
      </c>
    </row>
  </sheetData>
  <sortState xmlns:xlrd2="http://schemas.microsoft.com/office/spreadsheetml/2017/richdata2" columnSort="1" ref="A3:J54">
    <sortCondition descending="1" ref="B3"/>
  </sortState>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539B0-3DBE-4922-94DD-DCFEC3E97ECA}">
  <sheetPr codeName="Sheet4"/>
  <dimension ref="A3:D23"/>
  <sheetViews>
    <sheetView workbookViewId="0">
      <selection activeCell="A9" sqref="A9"/>
    </sheetView>
  </sheetViews>
  <sheetFormatPr defaultRowHeight="15" x14ac:dyDescent="0.25"/>
  <cols>
    <col min="1" max="1" width="15.140625" bestFit="1" customWidth="1"/>
    <col min="2" max="2" width="3.7109375" bestFit="1" customWidth="1"/>
    <col min="3" max="3" width="4.85546875" bestFit="1" customWidth="1"/>
    <col min="4" max="4" width="4.7109375" bestFit="1" customWidth="1"/>
  </cols>
  <sheetData>
    <row r="3" spans="1:4" x14ac:dyDescent="0.25">
      <c r="A3" s="1" t="s">
        <v>0</v>
      </c>
      <c r="B3" t="s">
        <v>73</v>
      </c>
      <c r="C3" t="s">
        <v>76</v>
      </c>
      <c r="D3" t="s">
        <v>77</v>
      </c>
    </row>
    <row r="4" spans="1:4" x14ac:dyDescent="0.25">
      <c r="A4" s="2" t="s">
        <v>19</v>
      </c>
      <c r="B4">
        <v>89</v>
      </c>
      <c r="C4">
        <v>43</v>
      </c>
      <c r="D4">
        <v>18</v>
      </c>
    </row>
    <row r="5" spans="1:4" x14ac:dyDescent="0.25">
      <c r="A5" s="2" t="s">
        <v>20</v>
      </c>
      <c r="B5">
        <v>84</v>
      </c>
      <c r="C5">
        <v>28</v>
      </c>
      <c r="D5">
        <v>17</v>
      </c>
    </row>
    <row r="6" spans="1:4" x14ac:dyDescent="0.25">
      <c r="A6" s="2" t="s">
        <v>11</v>
      </c>
      <c r="B6">
        <v>75</v>
      </c>
      <c r="C6">
        <v>26</v>
      </c>
      <c r="D6">
        <v>-11</v>
      </c>
    </row>
    <row r="7" spans="1:4" x14ac:dyDescent="0.25">
      <c r="A7" s="2" t="s">
        <v>33</v>
      </c>
      <c r="B7">
        <v>71</v>
      </c>
      <c r="C7">
        <v>22</v>
      </c>
      <c r="D7">
        <v>13</v>
      </c>
    </row>
    <row r="8" spans="1:4" x14ac:dyDescent="0.25">
      <c r="A8" s="2" t="s">
        <v>17</v>
      </c>
      <c r="B8">
        <v>67</v>
      </c>
      <c r="C8">
        <v>29</v>
      </c>
      <c r="D8">
        <v>-1</v>
      </c>
    </row>
    <row r="9" spans="1:4" x14ac:dyDescent="0.25">
      <c r="A9" s="2" t="s">
        <v>58</v>
      </c>
      <c r="B9">
        <v>62</v>
      </c>
      <c r="C9">
        <v>16</v>
      </c>
      <c r="D9">
        <v>3</v>
      </c>
    </row>
    <row r="10" spans="1:4" x14ac:dyDescent="0.25">
      <c r="A10" s="2" t="s">
        <v>12</v>
      </c>
      <c r="B10">
        <v>61</v>
      </c>
      <c r="C10">
        <v>12</v>
      </c>
      <c r="D10">
        <v>-7</v>
      </c>
    </row>
    <row r="11" spans="1:4" x14ac:dyDescent="0.25">
      <c r="A11" s="2" t="s">
        <v>16</v>
      </c>
      <c r="B11">
        <v>60</v>
      </c>
      <c r="C11">
        <v>12</v>
      </c>
      <c r="D11">
        <v>-5</v>
      </c>
    </row>
    <row r="12" spans="1:4" x14ac:dyDescent="0.25">
      <c r="A12" s="2" t="s">
        <v>60</v>
      </c>
      <c r="B12">
        <v>59</v>
      </c>
      <c r="C12">
        <v>17</v>
      </c>
      <c r="D12">
        <v>-5</v>
      </c>
    </row>
    <row r="13" spans="1:4" x14ac:dyDescent="0.25">
      <c r="A13" s="2" t="s">
        <v>44</v>
      </c>
      <c r="B13">
        <v>52</v>
      </c>
      <c r="C13">
        <v>2</v>
      </c>
      <c r="D13">
        <v>0</v>
      </c>
    </row>
    <row r="14" spans="1:4" x14ac:dyDescent="0.25">
      <c r="A14" s="2" t="s">
        <v>29</v>
      </c>
      <c r="B14">
        <v>45</v>
      </c>
      <c r="C14">
        <v>-2</v>
      </c>
      <c r="D14">
        <v>-7</v>
      </c>
    </row>
    <row r="15" spans="1:4" x14ac:dyDescent="0.25">
      <c r="A15" s="2" t="s">
        <v>21</v>
      </c>
      <c r="B15">
        <v>44</v>
      </c>
      <c r="C15">
        <v>1</v>
      </c>
      <c r="D15">
        <v>-10</v>
      </c>
    </row>
    <row r="16" spans="1:4" x14ac:dyDescent="0.25">
      <c r="A16" s="2" t="s">
        <v>48</v>
      </c>
      <c r="B16">
        <v>41</v>
      </c>
      <c r="C16">
        <v>-1</v>
      </c>
      <c r="D16">
        <v>-26</v>
      </c>
    </row>
    <row r="17" spans="1:4" x14ac:dyDescent="0.25">
      <c r="A17" s="2" t="s">
        <v>34</v>
      </c>
      <c r="B17">
        <v>40</v>
      </c>
      <c r="C17">
        <v>2</v>
      </c>
      <c r="D17">
        <v>-15</v>
      </c>
    </row>
    <row r="18" spans="1:4" x14ac:dyDescent="0.25">
      <c r="A18" s="2" t="s">
        <v>57</v>
      </c>
      <c r="B18">
        <v>39</v>
      </c>
      <c r="C18">
        <v>-8</v>
      </c>
      <c r="D18">
        <v>-26</v>
      </c>
    </row>
    <row r="19" spans="1:4" x14ac:dyDescent="0.25">
      <c r="A19" s="2" t="s">
        <v>32</v>
      </c>
      <c r="B19">
        <v>38</v>
      </c>
      <c r="C19">
        <v>3</v>
      </c>
      <c r="D19">
        <v>-33</v>
      </c>
    </row>
    <row r="20" spans="1:4" x14ac:dyDescent="0.25">
      <c r="A20" s="2" t="s">
        <v>23</v>
      </c>
      <c r="B20">
        <v>36</v>
      </c>
      <c r="C20">
        <v>-11</v>
      </c>
      <c r="D20">
        <v>-12</v>
      </c>
    </row>
    <row r="21" spans="1:4" x14ac:dyDescent="0.25">
      <c r="A21" s="2" t="s">
        <v>36</v>
      </c>
      <c r="B21">
        <v>34</v>
      </c>
      <c r="C21">
        <v>-4</v>
      </c>
      <c r="D21">
        <v>-13</v>
      </c>
    </row>
    <row r="22" spans="1:4" x14ac:dyDescent="0.25">
      <c r="A22" s="2" t="s">
        <v>27</v>
      </c>
      <c r="B22">
        <v>31</v>
      </c>
      <c r="C22">
        <v>-11</v>
      </c>
      <c r="D22">
        <v>-19</v>
      </c>
    </row>
    <row r="23" spans="1:4" x14ac:dyDescent="0.25">
      <c r="A23" s="2" t="s">
        <v>28</v>
      </c>
      <c r="B23">
        <v>25</v>
      </c>
      <c r="C23">
        <v>-18</v>
      </c>
      <c r="D23">
        <v>-19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C40D3-22A9-4D4D-9136-28A8000ED84F}">
  <sheetPr codeName="Sheet7"/>
  <dimension ref="A1:K627"/>
  <sheetViews>
    <sheetView workbookViewId="0">
      <selection activeCell="B6" sqref="B6"/>
    </sheetView>
  </sheetViews>
  <sheetFormatPr defaultRowHeight="15" x14ac:dyDescent="0.25"/>
  <cols>
    <col min="1" max="1" width="14.140625" bestFit="1" customWidth="1"/>
    <col min="3" max="3" width="12.28515625" customWidth="1"/>
    <col min="4" max="4" width="13.28515625" customWidth="1"/>
    <col min="5" max="5" width="13.7109375" customWidth="1"/>
    <col min="6" max="6" width="10.7109375" customWidth="1"/>
    <col min="7" max="7" width="11.7109375" customWidth="1"/>
    <col min="8" max="8" width="12.7109375" customWidth="1"/>
    <col min="9" max="9" width="13.140625" customWidth="1"/>
    <col min="10" max="10" width="10.140625" customWidth="1"/>
  </cols>
  <sheetData>
    <row r="1" spans="1:11" x14ac:dyDescent="0.25">
      <c r="A1" t="s">
        <v>0</v>
      </c>
      <c r="B1" t="s">
        <v>1</v>
      </c>
      <c r="C1" t="s">
        <v>2</v>
      </c>
      <c r="D1" t="s">
        <v>3</v>
      </c>
      <c r="E1" t="s">
        <v>4</v>
      </c>
      <c r="F1" t="s">
        <v>5</v>
      </c>
      <c r="G1" t="s">
        <v>6</v>
      </c>
      <c r="H1" t="s">
        <v>7</v>
      </c>
      <c r="I1" t="s">
        <v>8</v>
      </c>
      <c r="J1" t="s">
        <v>9</v>
      </c>
      <c r="K1" t="s">
        <v>10</v>
      </c>
    </row>
    <row r="2" spans="1:11" x14ac:dyDescent="0.25">
      <c r="A2" t="s">
        <v>11</v>
      </c>
      <c r="B2">
        <v>1993</v>
      </c>
      <c r="C2">
        <v>14</v>
      </c>
      <c r="D2">
        <v>5</v>
      </c>
      <c r="E2">
        <v>2</v>
      </c>
      <c r="F2">
        <v>25</v>
      </c>
      <c r="G2">
        <v>10</v>
      </c>
      <c r="H2">
        <v>7</v>
      </c>
      <c r="I2">
        <v>4</v>
      </c>
      <c r="J2">
        <v>11</v>
      </c>
      <c r="K2">
        <v>84</v>
      </c>
    </row>
    <row r="3" spans="1:11" x14ac:dyDescent="0.25">
      <c r="A3" t="s">
        <v>12</v>
      </c>
      <c r="B3">
        <v>1993</v>
      </c>
      <c r="C3">
        <v>13</v>
      </c>
      <c r="D3">
        <v>5</v>
      </c>
      <c r="E3">
        <v>3</v>
      </c>
      <c r="F3">
        <v>20</v>
      </c>
      <c r="G3">
        <v>8</v>
      </c>
      <c r="H3">
        <v>6</v>
      </c>
      <c r="I3">
        <v>7</v>
      </c>
      <c r="J3">
        <v>-3</v>
      </c>
      <c r="K3">
        <v>74</v>
      </c>
    </row>
    <row r="4" spans="1:11" x14ac:dyDescent="0.25">
      <c r="A4" t="s">
        <v>13</v>
      </c>
      <c r="B4">
        <v>1993</v>
      </c>
      <c r="C4">
        <v>13</v>
      </c>
      <c r="D4">
        <v>6</v>
      </c>
      <c r="E4">
        <v>2</v>
      </c>
      <c r="F4">
        <v>12</v>
      </c>
      <c r="G4">
        <v>8</v>
      </c>
      <c r="H4">
        <v>3</v>
      </c>
      <c r="I4">
        <v>10</v>
      </c>
      <c r="J4">
        <v>-16</v>
      </c>
      <c r="K4">
        <v>72</v>
      </c>
    </row>
    <row r="5" spans="1:11" x14ac:dyDescent="0.25">
      <c r="A5" t="s">
        <v>14</v>
      </c>
      <c r="B5">
        <v>1993</v>
      </c>
      <c r="C5">
        <v>13</v>
      </c>
      <c r="D5">
        <v>4</v>
      </c>
      <c r="E5">
        <v>4</v>
      </c>
      <c r="F5">
        <v>20</v>
      </c>
      <c r="G5">
        <v>7</v>
      </c>
      <c r="H5">
        <v>7</v>
      </c>
      <c r="I5">
        <v>7</v>
      </c>
      <c r="J5">
        <v>2</v>
      </c>
      <c r="K5">
        <v>71</v>
      </c>
    </row>
    <row r="6" spans="1:11" x14ac:dyDescent="0.25">
      <c r="A6" t="s">
        <v>15</v>
      </c>
      <c r="B6">
        <v>1993</v>
      </c>
      <c r="C6">
        <v>11</v>
      </c>
      <c r="D6">
        <v>5</v>
      </c>
      <c r="E6">
        <v>5</v>
      </c>
      <c r="F6">
        <v>9</v>
      </c>
      <c r="G6">
        <v>6</v>
      </c>
      <c r="H6">
        <v>7</v>
      </c>
      <c r="I6">
        <v>8</v>
      </c>
      <c r="J6">
        <v>-1</v>
      </c>
      <c r="K6">
        <v>63</v>
      </c>
    </row>
    <row r="7" spans="1:11" x14ac:dyDescent="0.25">
      <c r="A7" t="s">
        <v>16</v>
      </c>
      <c r="B7">
        <v>1993</v>
      </c>
      <c r="C7">
        <v>11</v>
      </c>
      <c r="D7">
        <v>5</v>
      </c>
      <c r="E7">
        <v>5</v>
      </c>
      <c r="F7">
        <v>15</v>
      </c>
      <c r="G7">
        <v>5</v>
      </c>
      <c r="H7">
        <v>6</v>
      </c>
      <c r="I7">
        <v>10</v>
      </c>
      <c r="J7">
        <v>-21</v>
      </c>
      <c r="K7">
        <v>59</v>
      </c>
    </row>
    <row r="8" spans="1:11" x14ac:dyDescent="0.25">
      <c r="A8" t="s">
        <v>17</v>
      </c>
      <c r="B8">
        <v>1993</v>
      </c>
      <c r="C8">
        <v>13</v>
      </c>
      <c r="D8">
        <v>4</v>
      </c>
      <c r="E8">
        <v>4</v>
      </c>
      <c r="F8">
        <v>23</v>
      </c>
      <c r="G8">
        <v>3</v>
      </c>
      <c r="H8">
        <v>7</v>
      </c>
      <c r="I8">
        <v>11</v>
      </c>
      <c r="J8">
        <v>-16</v>
      </c>
      <c r="K8">
        <v>59</v>
      </c>
    </row>
    <row r="9" spans="1:11" x14ac:dyDescent="0.25">
      <c r="A9" t="s">
        <v>18</v>
      </c>
      <c r="B9">
        <v>1993</v>
      </c>
      <c r="C9">
        <v>9</v>
      </c>
      <c r="D9">
        <v>8</v>
      </c>
      <c r="E9">
        <v>4</v>
      </c>
      <c r="F9">
        <v>8</v>
      </c>
      <c r="G9">
        <v>6</v>
      </c>
      <c r="H9">
        <v>6</v>
      </c>
      <c r="I9">
        <v>9</v>
      </c>
      <c r="J9">
        <v>-4</v>
      </c>
      <c r="K9">
        <v>59</v>
      </c>
    </row>
    <row r="10" spans="1:11" x14ac:dyDescent="0.25">
      <c r="A10" t="s">
        <v>19</v>
      </c>
      <c r="B10">
        <v>1993</v>
      </c>
      <c r="C10">
        <v>7</v>
      </c>
      <c r="D10">
        <v>8</v>
      </c>
      <c r="E10">
        <v>6</v>
      </c>
      <c r="F10">
        <v>5</v>
      </c>
      <c r="G10">
        <v>8</v>
      </c>
      <c r="H10">
        <v>4</v>
      </c>
      <c r="I10">
        <v>9</v>
      </c>
      <c r="J10">
        <v>0</v>
      </c>
      <c r="K10">
        <v>57</v>
      </c>
    </row>
    <row r="11" spans="1:11" x14ac:dyDescent="0.25">
      <c r="A11" t="s">
        <v>20</v>
      </c>
      <c r="B11">
        <v>1993</v>
      </c>
      <c r="C11">
        <v>8</v>
      </c>
      <c r="D11">
        <v>6</v>
      </c>
      <c r="E11">
        <v>7</v>
      </c>
      <c r="F11">
        <v>5</v>
      </c>
      <c r="G11">
        <v>7</v>
      </c>
      <c r="H11">
        <v>5</v>
      </c>
      <c r="I11">
        <v>9</v>
      </c>
      <c r="J11">
        <v>-3</v>
      </c>
      <c r="K11">
        <v>56</v>
      </c>
    </row>
    <row r="12" spans="1:11" x14ac:dyDescent="0.25">
      <c r="A12" t="s">
        <v>21</v>
      </c>
      <c r="B12">
        <v>1993</v>
      </c>
      <c r="C12">
        <v>9</v>
      </c>
      <c r="D12">
        <v>7</v>
      </c>
      <c r="E12">
        <v>5</v>
      </c>
      <c r="F12">
        <v>7</v>
      </c>
      <c r="G12">
        <v>5</v>
      </c>
      <c r="H12">
        <v>7</v>
      </c>
      <c r="I12">
        <v>9</v>
      </c>
      <c r="J12">
        <v>-10</v>
      </c>
      <c r="K12">
        <v>56</v>
      </c>
    </row>
    <row r="13" spans="1:11" x14ac:dyDescent="0.25">
      <c r="A13" t="s">
        <v>22</v>
      </c>
      <c r="B13">
        <v>1993</v>
      </c>
      <c r="C13">
        <v>9</v>
      </c>
      <c r="D13">
        <v>4</v>
      </c>
      <c r="E13">
        <v>8</v>
      </c>
      <c r="F13">
        <v>9</v>
      </c>
      <c r="G13">
        <v>5</v>
      </c>
      <c r="H13">
        <v>8</v>
      </c>
      <c r="I13">
        <v>8</v>
      </c>
      <c r="J13">
        <v>-8</v>
      </c>
      <c r="K13">
        <v>54</v>
      </c>
    </row>
    <row r="14" spans="1:11" x14ac:dyDescent="0.25">
      <c r="A14" t="s">
        <v>23</v>
      </c>
      <c r="B14">
        <v>1993</v>
      </c>
      <c r="C14">
        <v>7</v>
      </c>
      <c r="D14">
        <v>6</v>
      </c>
      <c r="E14">
        <v>8</v>
      </c>
      <c r="F14">
        <v>-1</v>
      </c>
      <c r="G14">
        <v>8</v>
      </c>
      <c r="H14">
        <v>2</v>
      </c>
      <c r="I14">
        <v>11</v>
      </c>
      <c r="J14">
        <v>-1</v>
      </c>
      <c r="K14">
        <v>53</v>
      </c>
    </row>
    <row r="15" spans="1:11" x14ac:dyDescent="0.25">
      <c r="A15" t="s">
        <v>24</v>
      </c>
      <c r="B15">
        <v>1993</v>
      </c>
      <c r="C15">
        <v>8</v>
      </c>
      <c r="D15">
        <v>9</v>
      </c>
      <c r="E15">
        <v>4</v>
      </c>
      <c r="F15">
        <v>7</v>
      </c>
      <c r="G15">
        <v>4</v>
      </c>
      <c r="H15">
        <v>7</v>
      </c>
      <c r="I15">
        <v>10</v>
      </c>
      <c r="J15">
        <v>-12</v>
      </c>
      <c r="K15">
        <v>52</v>
      </c>
    </row>
    <row r="16" spans="1:11" x14ac:dyDescent="0.25">
      <c r="A16" t="s">
        <v>25</v>
      </c>
      <c r="B16">
        <v>1993</v>
      </c>
      <c r="C16">
        <v>10</v>
      </c>
      <c r="D16">
        <v>6</v>
      </c>
      <c r="E16">
        <v>5</v>
      </c>
      <c r="F16">
        <v>14</v>
      </c>
      <c r="G16">
        <v>4</v>
      </c>
      <c r="H16">
        <v>4</v>
      </c>
      <c r="I16">
        <v>13</v>
      </c>
      <c r="J16">
        <v>-13</v>
      </c>
      <c r="K16">
        <v>52</v>
      </c>
    </row>
    <row r="17" spans="1:11" x14ac:dyDescent="0.25">
      <c r="A17" t="s">
        <v>26</v>
      </c>
      <c r="B17">
        <v>1993</v>
      </c>
      <c r="C17">
        <v>7</v>
      </c>
      <c r="D17">
        <v>4</v>
      </c>
      <c r="E17">
        <v>10</v>
      </c>
      <c r="F17">
        <v>1</v>
      </c>
      <c r="G17">
        <v>6</v>
      </c>
      <c r="H17">
        <v>9</v>
      </c>
      <c r="I17">
        <v>6</v>
      </c>
      <c r="J17">
        <v>-6</v>
      </c>
      <c r="K17">
        <v>52</v>
      </c>
    </row>
    <row r="18" spans="1:11" x14ac:dyDescent="0.25">
      <c r="A18" t="s">
        <v>27</v>
      </c>
      <c r="B18">
        <v>1993</v>
      </c>
      <c r="C18">
        <v>12</v>
      </c>
      <c r="D18">
        <v>8</v>
      </c>
      <c r="E18">
        <v>1</v>
      </c>
      <c r="F18">
        <v>23</v>
      </c>
      <c r="G18">
        <v>0</v>
      </c>
      <c r="H18">
        <v>7</v>
      </c>
      <c r="I18">
        <v>14</v>
      </c>
      <c r="J18">
        <v>-28</v>
      </c>
      <c r="K18">
        <v>51</v>
      </c>
    </row>
    <row r="19" spans="1:11" x14ac:dyDescent="0.25">
      <c r="A19" t="s">
        <v>28</v>
      </c>
      <c r="B19">
        <v>1993</v>
      </c>
      <c r="C19">
        <v>10</v>
      </c>
      <c r="D19">
        <v>6</v>
      </c>
      <c r="E19">
        <v>5</v>
      </c>
      <c r="F19">
        <v>9</v>
      </c>
      <c r="G19">
        <v>3</v>
      </c>
      <c r="H19">
        <v>5</v>
      </c>
      <c r="I19">
        <v>13</v>
      </c>
      <c r="J19">
        <v>-16</v>
      </c>
      <c r="K19">
        <v>50</v>
      </c>
    </row>
    <row r="20" spans="1:11" x14ac:dyDescent="0.25">
      <c r="A20" t="s">
        <v>29</v>
      </c>
      <c r="B20">
        <v>1993</v>
      </c>
      <c r="C20">
        <v>6</v>
      </c>
      <c r="D20">
        <v>9</v>
      </c>
      <c r="E20">
        <v>6</v>
      </c>
      <c r="F20">
        <v>2</v>
      </c>
      <c r="G20">
        <v>5</v>
      </c>
      <c r="H20">
        <v>7</v>
      </c>
      <c r="I20">
        <v>9</v>
      </c>
      <c r="J20">
        <v>-15</v>
      </c>
      <c r="K20">
        <v>49</v>
      </c>
    </row>
    <row r="21" spans="1:11" x14ac:dyDescent="0.25">
      <c r="A21" t="s">
        <v>30</v>
      </c>
      <c r="B21">
        <v>1993</v>
      </c>
      <c r="C21">
        <v>10</v>
      </c>
      <c r="D21">
        <v>6</v>
      </c>
      <c r="E21">
        <v>5</v>
      </c>
      <c r="F21">
        <v>13</v>
      </c>
      <c r="G21">
        <v>3</v>
      </c>
      <c r="H21">
        <v>4</v>
      </c>
      <c r="I21">
        <v>14</v>
      </c>
      <c r="J21">
        <v>-24</v>
      </c>
      <c r="K21">
        <v>49</v>
      </c>
    </row>
    <row r="22" spans="1:11" x14ac:dyDescent="0.25">
      <c r="A22" t="s">
        <v>31</v>
      </c>
      <c r="B22">
        <v>1993</v>
      </c>
      <c r="C22">
        <v>8</v>
      </c>
      <c r="D22">
        <v>5</v>
      </c>
      <c r="E22">
        <v>8</v>
      </c>
      <c r="F22">
        <v>6</v>
      </c>
      <c r="G22">
        <v>3</v>
      </c>
      <c r="H22">
        <v>6</v>
      </c>
      <c r="I22">
        <v>12</v>
      </c>
      <c r="J22">
        <v>-27</v>
      </c>
      <c r="K22">
        <v>44</v>
      </c>
    </row>
    <row r="23" spans="1:11" x14ac:dyDescent="0.25">
      <c r="A23" t="s">
        <v>32</v>
      </c>
      <c r="B23">
        <v>1993</v>
      </c>
      <c r="C23">
        <v>6</v>
      </c>
      <c r="D23">
        <v>4</v>
      </c>
      <c r="E23">
        <v>11</v>
      </c>
      <c r="F23">
        <v>-8</v>
      </c>
      <c r="G23">
        <v>4</v>
      </c>
      <c r="H23">
        <v>6</v>
      </c>
      <c r="I23">
        <v>11</v>
      </c>
      <c r="J23">
        <v>-13</v>
      </c>
      <c r="K23">
        <v>40</v>
      </c>
    </row>
    <row r="24" spans="1:11" x14ac:dyDescent="0.25">
      <c r="A24" t="s">
        <v>11</v>
      </c>
      <c r="B24">
        <v>1994</v>
      </c>
      <c r="C24">
        <v>14</v>
      </c>
      <c r="D24">
        <v>6</v>
      </c>
      <c r="E24">
        <v>1</v>
      </c>
      <c r="F24">
        <v>26</v>
      </c>
      <c r="G24">
        <v>13</v>
      </c>
      <c r="H24">
        <v>5</v>
      </c>
      <c r="I24">
        <v>3</v>
      </c>
      <c r="J24">
        <v>16</v>
      </c>
      <c r="K24">
        <v>92</v>
      </c>
    </row>
    <row r="25" spans="1:11" x14ac:dyDescent="0.25">
      <c r="A25" t="s">
        <v>14</v>
      </c>
      <c r="B25">
        <v>1994</v>
      </c>
      <c r="C25">
        <v>14</v>
      </c>
      <c r="D25">
        <v>5</v>
      </c>
      <c r="E25">
        <v>2</v>
      </c>
      <c r="F25">
        <v>20</v>
      </c>
      <c r="G25">
        <v>11</v>
      </c>
      <c r="H25">
        <v>4</v>
      </c>
      <c r="I25">
        <v>6</v>
      </c>
      <c r="J25">
        <v>7</v>
      </c>
      <c r="K25">
        <v>84</v>
      </c>
    </row>
    <row r="26" spans="1:11" x14ac:dyDescent="0.25">
      <c r="A26" t="s">
        <v>33</v>
      </c>
      <c r="B26">
        <v>1994</v>
      </c>
      <c r="C26">
        <v>14</v>
      </c>
      <c r="D26">
        <v>4</v>
      </c>
      <c r="E26">
        <v>3</v>
      </c>
      <c r="F26">
        <v>37</v>
      </c>
      <c r="G26">
        <v>9</v>
      </c>
      <c r="H26">
        <v>4</v>
      </c>
      <c r="I26">
        <v>8</v>
      </c>
      <c r="J26">
        <v>4</v>
      </c>
      <c r="K26">
        <v>77</v>
      </c>
    </row>
    <row r="27" spans="1:11" x14ac:dyDescent="0.25">
      <c r="A27" t="s">
        <v>20</v>
      </c>
      <c r="B27">
        <v>1994</v>
      </c>
      <c r="C27">
        <v>10</v>
      </c>
      <c r="D27">
        <v>8</v>
      </c>
      <c r="E27">
        <v>3</v>
      </c>
      <c r="F27">
        <v>10</v>
      </c>
      <c r="G27">
        <v>8</v>
      </c>
      <c r="H27">
        <v>9</v>
      </c>
      <c r="I27">
        <v>4</v>
      </c>
      <c r="J27">
        <v>15</v>
      </c>
      <c r="K27">
        <v>71</v>
      </c>
    </row>
    <row r="28" spans="1:11" x14ac:dyDescent="0.25">
      <c r="A28" t="s">
        <v>27</v>
      </c>
      <c r="B28">
        <v>1994</v>
      </c>
      <c r="C28">
        <v>13</v>
      </c>
      <c r="D28">
        <v>6</v>
      </c>
      <c r="E28">
        <v>2</v>
      </c>
      <c r="F28">
        <v>19</v>
      </c>
      <c r="G28">
        <v>5</v>
      </c>
      <c r="H28">
        <v>10</v>
      </c>
      <c r="I28">
        <v>6</v>
      </c>
      <c r="J28">
        <v>7</v>
      </c>
      <c r="K28">
        <v>70</v>
      </c>
    </row>
    <row r="29" spans="1:11" x14ac:dyDescent="0.25">
      <c r="A29" t="s">
        <v>22</v>
      </c>
      <c r="B29">
        <v>1994</v>
      </c>
      <c r="C29">
        <v>12</v>
      </c>
      <c r="D29">
        <v>5</v>
      </c>
      <c r="E29">
        <v>4</v>
      </c>
      <c r="F29">
        <v>14</v>
      </c>
      <c r="G29">
        <v>6</v>
      </c>
      <c r="H29">
        <v>6</v>
      </c>
      <c r="I29">
        <v>9</v>
      </c>
      <c r="J29">
        <v>-11</v>
      </c>
      <c r="K29">
        <v>65</v>
      </c>
    </row>
    <row r="30" spans="1:11" x14ac:dyDescent="0.25">
      <c r="A30" t="s">
        <v>18</v>
      </c>
      <c r="B30">
        <v>1994</v>
      </c>
      <c r="C30">
        <v>10</v>
      </c>
      <c r="D30">
        <v>7</v>
      </c>
      <c r="E30">
        <v>4</v>
      </c>
      <c r="F30">
        <v>24</v>
      </c>
      <c r="G30">
        <v>6</v>
      </c>
      <c r="H30">
        <v>9</v>
      </c>
      <c r="I30">
        <v>6</v>
      </c>
      <c r="J30">
        <v>-2</v>
      </c>
      <c r="K30">
        <v>64</v>
      </c>
    </row>
    <row r="31" spans="1:11" x14ac:dyDescent="0.25">
      <c r="A31" t="s">
        <v>17</v>
      </c>
      <c r="B31">
        <v>1994</v>
      </c>
      <c r="C31">
        <v>12</v>
      </c>
      <c r="D31">
        <v>4</v>
      </c>
      <c r="E31">
        <v>5</v>
      </c>
      <c r="F31">
        <v>10</v>
      </c>
      <c r="G31">
        <v>5</v>
      </c>
      <c r="H31">
        <v>5</v>
      </c>
      <c r="I31">
        <v>11</v>
      </c>
      <c r="J31">
        <v>-6</v>
      </c>
      <c r="K31">
        <v>60</v>
      </c>
    </row>
    <row r="32" spans="1:11" x14ac:dyDescent="0.25">
      <c r="A32" t="s">
        <v>15</v>
      </c>
      <c r="B32">
        <v>1994</v>
      </c>
      <c r="C32">
        <v>8</v>
      </c>
      <c r="D32">
        <v>7</v>
      </c>
      <c r="E32">
        <v>6</v>
      </c>
      <c r="F32">
        <v>3</v>
      </c>
      <c r="G32">
        <v>8</v>
      </c>
      <c r="H32">
        <v>5</v>
      </c>
      <c r="I32">
        <v>8</v>
      </c>
      <c r="J32">
        <v>-2</v>
      </c>
      <c r="K32">
        <v>60</v>
      </c>
    </row>
    <row r="33" spans="1:11" x14ac:dyDescent="0.25">
      <c r="A33" t="s">
        <v>12</v>
      </c>
      <c r="B33">
        <v>1994</v>
      </c>
      <c r="C33">
        <v>8</v>
      </c>
      <c r="D33">
        <v>5</v>
      </c>
      <c r="E33">
        <v>8</v>
      </c>
      <c r="F33">
        <v>5</v>
      </c>
      <c r="G33">
        <v>7</v>
      </c>
      <c r="H33">
        <v>7</v>
      </c>
      <c r="I33">
        <v>7</v>
      </c>
      <c r="J33">
        <v>-9</v>
      </c>
      <c r="K33">
        <v>57</v>
      </c>
    </row>
    <row r="34" spans="1:11" x14ac:dyDescent="0.25">
      <c r="A34" t="s">
        <v>26</v>
      </c>
      <c r="B34">
        <v>1994</v>
      </c>
      <c r="C34">
        <v>9</v>
      </c>
      <c r="D34">
        <v>7</v>
      </c>
      <c r="E34">
        <v>5</v>
      </c>
      <c r="F34">
        <v>6</v>
      </c>
      <c r="G34">
        <v>5</v>
      </c>
      <c r="H34">
        <v>7</v>
      </c>
      <c r="I34">
        <v>9</v>
      </c>
      <c r="J34">
        <v>-8</v>
      </c>
      <c r="K34">
        <v>56</v>
      </c>
    </row>
    <row r="35" spans="1:11" x14ac:dyDescent="0.25">
      <c r="A35" t="s">
        <v>13</v>
      </c>
      <c r="B35">
        <v>1994</v>
      </c>
      <c r="C35">
        <v>4</v>
      </c>
      <c r="D35">
        <v>9</v>
      </c>
      <c r="E35">
        <v>8</v>
      </c>
      <c r="F35">
        <v>-3</v>
      </c>
      <c r="G35">
        <v>8</v>
      </c>
      <c r="H35">
        <v>8</v>
      </c>
      <c r="I35">
        <v>5</v>
      </c>
      <c r="J35">
        <v>7</v>
      </c>
      <c r="K35">
        <v>53</v>
      </c>
    </row>
    <row r="36" spans="1:11" x14ac:dyDescent="0.25">
      <c r="A36" t="s">
        <v>34</v>
      </c>
      <c r="B36">
        <v>1994</v>
      </c>
      <c r="C36">
        <v>6</v>
      </c>
      <c r="D36">
        <v>7</v>
      </c>
      <c r="E36">
        <v>8</v>
      </c>
      <c r="F36">
        <v>-5</v>
      </c>
      <c r="G36">
        <v>7</v>
      </c>
      <c r="H36">
        <v>6</v>
      </c>
      <c r="I36">
        <v>8</v>
      </c>
      <c r="J36">
        <v>-6</v>
      </c>
      <c r="K36">
        <v>52</v>
      </c>
    </row>
    <row r="37" spans="1:11" x14ac:dyDescent="0.25">
      <c r="A37" t="s">
        <v>21</v>
      </c>
      <c r="B37">
        <v>1994</v>
      </c>
      <c r="C37">
        <v>11</v>
      </c>
      <c r="D37">
        <v>5</v>
      </c>
      <c r="E37">
        <v>5</v>
      </c>
      <c r="F37">
        <v>11</v>
      </c>
      <c r="G37">
        <v>2</v>
      </c>
      <c r="H37">
        <v>7</v>
      </c>
      <c r="I37">
        <v>12</v>
      </c>
      <c r="J37">
        <v>-15</v>
      </c>
      <c r="K37">
        <v>51</v>
      </c>
    </row>
    <row r="38" spans="1:11" x14ac:dyDescent="0.25">
      <c r="A38" t="s">
        <v>16</v>
      </c>
      <c r="B38">
        <v>1994</v>
      </c>
      <c r="C38">
        <v>4</v>
      </c>
      <c r="D38">
        <v>8</v>
      </c>
      <c r="E38">
        <v>9</v>
      </c>
      <c r="F38">
        <v>-4</v>
      </c>
      <c r="G38">
        <v>7</v>
      </c>
      <c r="H38">
        <v>4</v>
      </c>
      <c r="I38">
        <v>10</v>
      </c>
      <c r="J38">
        <v>-1</v>
      </c>
      <c r="K38">
        <v>45</v>
      </c>
    </row>
    <row r="39" spans="1:11" x14ac:dyDescent="0.25">
      <c r="A39" t="s">
        <v>19</v>
      </c>
      <c r="B39">
        <v>1994</v>
      </c>
      <c r="C39">
        <v>6</v>
      </c>
      <c r="D39">
        <v>10</v>
      </c>
      <c r="E39">
        <v>5</v>
      </c>
      <c r="F39">
        <v>2</v>
      </c>
      <c r="G39">
        <v>3</v>
      </c>
      <c r="H39">
        <v>8</v>
      </c>
      <c r="I39">
        <v>10</v>
      </c>
      <c r="J39">
        <v>-13</v>
      </c>
      <c r="K39">
        <v>45</v>
      </c>
    </row>
    <row r="40" spans="1:11" x14ac:dyDescent="0.25">
      <c r="A40" t="s">
        <v>23</v>
      </c>
      <c r="B40">
        <v>1994</v>
      </c>
      <c r="C40">
        <v>8</v>
      </c>
      <c r="D40">
        <v>4</v>
      </c>
      <c r="E40">
        <v>9</v>
      </c>
      <c r="F40">
        <v>-4</v>
      </c>
      <c r="G40">
        <v>4</v>
      </c>
      <c r="H40">
        <v>4</v>
      </c>
      <c r="I40">
        <v>13</v>
      </c>
      <c r="J40">
        <v>-17</v>
      </c>
      <c r="K40">
        <v>44</v>
      </c>
    </row>
    <row r="41" spans="1:11" x14ac:dyDescent="0.25">
      <c r="A41" t="s">
        <v>24</v>
      </c>
      <c r="B41">
        <v>1994</v>
      </c>
      <c r="C41">
        <v>5</v>
      </c>
      <c r="D41">
        <v>8</v>
      </c>
      <c r="E41">
        <v>8</v>
      </c>
      <c r="F41">
        <v>-11</v>
      </c>
      <c r="G41">
        <v>4</v>
      </c>
      <c r="H41">
        <v>8</v>
      </c>
      <c r="I41">
        <v>9</v>
      </c>
      <c r="J41">
        <v>-12</v>
      </c>
      <c r="K41">
        <v>43</v>
      </c>
    </row>
    <row r="42" spans="1:11" x14ac:dyDescent="0.25">
      <c r="A42" t="s">
        <v>28</v>
      </c>
      <c r="B42">
        <v>1994</v>
      </c>
      <c r="C42">
        <v>9</v>
      </c>
      <c r="D42">
        <v>2</v>
      </c>
      <c r="E42">
        <v>10</v>
      </c>
      <c r="F42">
        <v>-1</v>
      </c>
      <c r="G42">
        <v>3</v>
      </c>
      <c r="H42">
        <v>5</v>
      </c>
      <c r="I42">
        <v>13</v>
      </c>
      <c r="J42">
        <v>-16</v>
      </c>
      <c r="K42">
        <v>43</v>
      </c>
    </row>
    <row r="43" spans="1:11" x14ac:dyDescent="0.25">
      <c r="A43" t="s">
        <v>25</v>
      </c>
      <c r="B43">
        <v>1994</v>
      </c>
      <c r="C43">
        <v>6</v>
      </c>
      <c r="D43">
        <v>10</v>
      </c>
      <c r="E43">
        <v>5</v>
      </c>
      <c r="F43">
        <v>1</v>
      </c>
      <c r="G43">
        <v>2</v>
      </c>
      <c r="H43">
        <v>8</v>
      </c>
      <c r="I43">
        <v>11</v>
      </c>
      <c r="J43">
        <v>-19</v>
      </c>
      <c r="K43">
        <v>42</v>
      </c>
    </row>
    <row r="44" spans="1:11" x14ac:dyDescent="0.25">
      <c r="A44" t="s">
        <v>30</v>
      </c>
      <c r="B44">
        <v>1994</v>
      </c>
      <c r="C44">
        <v>5</v>
      </c>
      <c r="D44">
        <v>8</v>
      </c>
      <c r="E44">
        <v>8</v>
      </c>
      <c r="F44">
        <v>-9</v>
      </c>
      <c r="G44">
        <v>4</v>
      </c>
      <c r="H44">
        <v>5</v>
      </c>
      <c r="I44">
        <v>12</v>
      </c>
      <c r="J44">
        <v>-17</v>
      </c>
      <c r="K44">
        <v>40</v>
      </c>
    </row>
    <row r="45" spans="1:11" x14ac:dyDescent="0.25">
      <c r="A45" t="s">
        <v>35</v>
      </c>
      <c r="B45">
        <v>1994</v>
      </c>
      <c r="C45">
        <v>4</v>
      </c>
      <c r="D45">
        <v>7</v>
      </c>
      <c r="E45">
        <v>10</v>
      </c>
      <c r="F45">
        <v>-20</v>
      </c>
      <c r="G45">
        <v>1</v>
      </c>
      <c r="H45">
        <v>8</v>
      </c>
      <c r="I45">
        <v>12</v>
      </c>
      <c r="J45">
        <v>-33</v>
      </c>
      <c r="K45">
        <v>30</v>
      </c>
    </row>
    <row r="46" spans="1:11" x14ac:dyDescent="0.25">
      <c r="A46" t="s">
        <v>14</v>
      </c>
      <c r="B46">
        <v>1995</v>
      </c>
      <c r="C46">
        <v>17</v>
      </c>
      <c r="D46">
        <v>2</v>
      </c>
      <c r="E46">
        <v>2</v>
      </c>
      <c r="F46">
        <v>33</v>
      </c>
      <c r="G46">
        <v>10</v>
      </c>
      <c r="H46">
        <v>6</v>
      </c>
      <c r="I46">
        <v>5</v>
      </c>
      <c r="J46">
        <v>8</v>
      </c>
      <c r="K46">
        <v>89</v>
      </c>
    </row>
    <row r="47" spans="1:11" x14ac:dyDescent="0.25">
      <c r="A47" t="s">
        <v>11</v>
      </c>
      <c r="B47">
        <v>1995</v>
      </c>
      <c r="C47">
        <v>16</v>
      </c>
      <c r="D47">
        <v>4</v>
      </c>
      <c r="E47">
        <v>1</v>
      </c>
      <c r="F47">
        <v>38</v>
      </c>
      <c r="G47">
        <v>10</v>
      </c>
      <c r="H47">
        <v>6</v>
      </c>
      <c r="I47">
        <v>5</v>
      </c>
      <c r="J47">
        <v>11</v>
      </c>
      <c r="K47">
        <v>88</v>
      </c>
    </row>
    <row r="48" spans="1:11" x14ac:dyDescent="0.25">
      <c r="A48" t="s">
        <v>32</v>
      </c>
      <c r="B48">
        <v>1995</v>
      </c>
      <c r="C48">
        <v>12</v>
      </c>
      <c r="D48">
        <v>6</v>
      </c>
      <c r="E48">
        <v>3</v>
      </c>
      <c r="F48">
        <v>18</v>
      </c>
      <c r="G48">
        <v>10</v>
      </c>
      <c r="H48">
        <v>5</v>
      </c>
      <c r="I48">
        <v>6</v>
      </c>
      <c r="J48">
        <v>11</v>
      </c>
      <c r="K48">
        <v>77</v>
      </c>
    </row>
    <row r="49" spans="1:11" x14ac:dyDescent="0.25">
      <c r="A49" t="s">
        <v>17</v>
      </c>
      <c r="B49">
        <v>1995</v>
      </c>
      <c r="C49">
        <v>13</v>
      </c>
      <c r="D49">
        <v>5</v>
      </c>
      <c r="E49">
        <v>3</v>
      </c>
      <c r="F49">
        <v>25</v>
      </c>
      <c r="G49">
        <v>8</v>
      </c>
      <c r="H49">
        <v>6</v>
      </c>
      <c r="I49">
        <v>7</v>
      </c>
      <c r="J49">
        <v>3</v>
      </c>
      <c r="K49">
        <v>74</v>
      </c>
    </row>
    <row r="50" spans="1:11" x14ac:dyDescent="0.25">
      <c r="A50" t="s">
        <v>27</v>
      </c>
      <c r="B50">
        <v>1995</v>
      </c>
      <c r="C50">
        <v>13</v>
      </c>
      <c r="D50">
        <v>5</v>
      </c>
      <c r="E50">
        <v>3</v>
      </c>
      <c r="F50">
        <v>20</v>
      </c>
      <c r="G50">
        <v>7</v>
      </c>
      <c r="H50">
        <v>8</v>
      </c>
      <c r="I50">
        <v>6</v>
      </c>
      <c r="J50">
        <v>1</v>
      </c>
      <c r="K50">
        <v>73</v>
      </c>
    </row>
    <row r="51" spans="1:11" x14ac:dyDescent="0.25">
      <c r="A51" t="s">
        <v>33</v>
      </c>
      <c r="B51">
        <v>1995</v>
      </c>
      <c r="C51">
        <v>14</v>
      </c>
      <c r="D51">
        <v>6</v>
      </c>
      <c r="E51">
        <v>1</v>
      </c>
      <c r="F51">
        <v>26</v>
      </c>
      <c r="G51">
        <v>6</v>
      </c>
      <c r="H51">
        <v>6</v>
      </c>
      <c r="I51">
        <v>9</v>
      </c>
      <c r="J51">
        <v>-6</v>
      </c>
      <c r="K51">
        <v>72</v>
      </c>
    </row>
    <row r="52" spans="1:11" x14ac:dyDescent="0.25">
      <c r="A52" t="s">
        <v>16</v>
      </c>
      <c r="B52">
        <v>1995</v>
      </c>
      <c r="C52">
        <v>10</v>
      </c>
      <c r="D52">
        <v>5</v>
      </c>
      <c r="E52">
        <v>6</v>
      </c>
      <c r="F52">
        <v>7</v>
      </c>
      <c r="G52">
        <v>6</v>
      </c>
      <c r="H52">
        <v>9</v>
      </c>
      <c r="I52">
        <v>6</v>
      </c>
      <c r="J52">
        <v>1</v>
      </c>
      <c r="K52">
        <v>62</v>
      </c>
    </row>
    <row r="53" spans="1:11" x14ac:dyDescent="0.25">
      <c r="A53" t="s">
        <v>15</v>
      </c>
      <c r="B53">
        <v>1995</v>
      </c>
      <c r="C53">
        <v>11</v>
      </c>
      <c r="D53">
        <v>3</v>
      </c>
      <c r="E53">
        <v>7</v>
      </c>
      <c r="F53">
        <v>10</v>
      </c>
      <c r="G53">
        <v>6</v>
      </c>
      <c r="H53">
        <v>6</v>
      </c>
      <c r="I53">
        <v>9</v>
      </c>
      <c r="J53">
        <v>-8</v>
      </c>
      <c r="K53">
        <v>60</v>
      </c>
    </row>
    <row r="54" spans="1:11" x14ac:dyDescent="0.25">
      <c r="A54" t="s">
        <v>22</v>
      </c>
      <c r="B54">
        <v>1995</v>
      </c>
      <c r="C54">
        <v>9</v>
      </c>
      <c r="D54">
        <v>5</v>
      </c>
      <c r="E54">
        <v>7</v>
      </c>
      <c r="F54">
        <v>0</v>
      </c>
      <c r="G54">
        <v>6</v>
      </c>
      <c r="H54">
        <v>6</v>
      </c>
      <c r="I54">
        <v>9</v>
      </c>
      <c r="J54">
        <v>-17</v>
      </c>
      <c r="K54">
        <v>56</v>
      </c>
    </row>
    <row r="55" spans="1:11" x14ac:dyDescent="0.25">
      <c r="A55" t="s">
        <v>21</v>
      </c>
      <c r="B55">
        <v>1995</v>
      </c>
      <c r="C55">
        <v>7</v>
      </c>
      <c r="D55">
        <v>7</v>
      </c>
      <c r="E55">
        <v>7</v>
      </c>
      <c r="F55">
        <v>3</v>
      </c>
      <c r="G55">
        <v>6</v>
      </c>
      <c r="H55">
        <v>8</v>
      </c>
      <c r="I55">
        <v>7</v>
      </c>
      <c r="J55">
        <v>-8</v>
      </c>
      <c r="K55">
        <v>54</v>
      </c>
    </row>
    <row r="56" spans="1:11" x14ac:dyDescent="0.25">
      <c r="A56" t="s">
        <v>28</v>
      </c>
      <c r="B56">
        <v>1995</v>
      </c>
      <c r="C56">
        <v>8</v>
      </c>
      <c r="D56">
        <v>9</v>
      </c>
      <c r="E56">
        <v>4</v>
      </c>
      <c r="F56">
        <v>6</v>
      </c>
      <c r="G56">
        <v>4</v>
      </c>
      <c r="H56">
        <v>9</v>
      </c>
      <c r="I56">
        <v>8</v>
      </c>
      <c r="J56">
        <v>-8</v>
      </c>
      <c r="K56">
        <v>54</v>
      </c>
    </row>
    <row r="57" spans="1:11" x14ac:dyDescent="0.25">
      <c r="A57" t="s">
        <v>18</v>
      </c>
      <c r="B57">
        <v>1995</v>
      </c>
      <c r="C57">
        <v>7</v>
      </c>
      <c r="D57">
        <v>7</v>
      </c>
      <c r="E57">
        <v>7</v>
      </c>
      <c r="F57">
        <v>0</v>
      </c>
      <c r="G57">
        <v>6</v>
      </c>
      <c r="H57">
        <v>5</v>
      </c>
      <c r="I57">
        <v>10</v>
      </c>
      <c r="J57">
        <v>-8</v>
      </c>
      <c r="K57">
        <v>51</v>
      </c>
    </row>
    <row r="58" spans="1:11" x14ac:dyDescent="0.25">
      <c r="A58" t="s">
        <v>20</v>
      </c>
      <c r="B58">
        <v>1995</v>
      </c>
      <c r="C58">
        <v>6</v>
      </c>
      <c r="D58">
        <v>9</v>
      </c>
      <c r="E58">
        <v>6</v>
      </c>
      <c r="F58">
        <v>6</v>
      </c>
      <c r="G58">
        <v>7</v>
      </c>
      <c r="H58">
        <v>3</v>
      </c>
      <c r="I58">
        <v>11</v>
      </c>
      <c r="J58">
        <v>-3</v>
      </c>
      <c r="K58">
        <v>51</v>
      </c>
    </row>
    <row r="59" spans="1:11" x14ac:dyDescent="0.25">
      <c r="A59" t="s">
        <v>23</v>
      </c>
      <c r="B59">
        <v>1995</v>
      </c>
      <c r="C59">
        <v>8</v>
      </c>
      <c r="D59">
        <v>9</v>
      </c>
      <c r="E59">
        <v>4</v>
      </c>
      <c r="F59">
        <v>8</v>
      </c>
      <c r="G59">
        <v>3</v>
      </c>
      <c r="H59">
        <v>8</v>
      </c>
      <c r="I59">
        <v>10</v>
      </c>
      <c r="J59">
        <v>-15</v>
      </c>
      <c r="K59">
        <v>50</v>
      </c>
    </row>
    <row r="60" spans="1:11" x14ac:dyDescent="0.25">
      <c r="A60" t="s">
        <v>26</v>
      </c>
      <c r="B60">
        <v>1995</v>
      </c>
      <c r="C60">
        <v>7</v>
      </c>
      <c r="D60">
        <v>7</v>
      </c>
      <c r="E60">
        <v>7</v>
      </c>
      <c r="F60">
        <v>-2</v>
      </c>
      <c r="G60">
        <v>5</v>
      </c>
      <c r="H60">
        <v>7</v>
      </c>
      <c r="I60">
        <v>9</v>
      </c>
      <c r="J60">
        <v>-16</v>
      </c>
      <c r="K60">
        <v>50</v>
      </c>
    </row>
    <row r="61" spans="1:11" x14ac:dyDescent="0.25">
      <c r="A61" t="s">
        <v>34</v>
      </c>
      <c r="B61">
        <v>1995</v>
      </c>
      <c r="C61">
        <v>9</v>
      </c>
      <c r="D61">
        <v>6</v>
      </c>
      <c r="E61">
        <v>6</v>
      </c>
      <c r="F61">
        <v>9</v>
      </c>
      <c r="G61">
        <v>4</v>
      </c>
      <c r="H61">
        <v>5</v>
      </c>
      <c r="I61">
        <v>12</v>
      </c>
      <c r="J61">
        <v>-13</v>
      </c>
      <c r="K61">
        <v>50</v>
      </c>
    </row>
    <row r="62" spans="1:11" x14ac:dyDescent="0.25">
      <c r="A62" t="s">
        <v>19</v>
      </c>
      <c r="B62">
        <v>1995</v>
      </c>
      <c r="C62">
        <v>8</v>
      </c>
      <c r="D62">
        <v>7</v>
      </c>
      <c r="E62">
        <v>6</v>
      </c>
      <c r="F62">
        <v>9</v>
      </c>
      <c r="G62">
        <v>4</v>
      </c>
      <c r="H62">
        <v>6</v>
      </c>
      <c r="I62">
        <v>11</v>
      </c>
      <c r="J62">
        <v>-20</v>
      </c>
      <c r="K62">
        <v>49</v>
      </c>
    </row>
    <row r="63" spans="1:11" x14ac:dyDescent="0.25">
      <c r="A63" t="s">
        <v>12</v>
      </c>
      <c r="B63">
        <v>1995</v>
      </c>
      <c r="C63">
        <v>6</v>
      </c>
      <c r="D63">
        <v>9</v>
      </c>
      <c r="E63">
        <v>6</v>
      </c>
      <c r="F63">
        <v>3</v>
      </c>
      <c r="G63">
        <v>5</v>
      </c>
      <c r="H63">
        <v>6</v>
      </c>
      <c r="I63">
        <v>10</v>
      </c>
      <c r="J63">
        <v>-8</v>
      </c>
      <c r="K63">
        <v>48</v>
      </c>
    </row>
    <row r="64" spans="1:11" x14ac:dyDescent="0.25">
      <c r="A64" t="s">
        <v>29</v>
      </c>
      <c r="B64">
        <v>1995</v>
      </c>
      <c r="C64">
        <v>6</v>
      </c>
      <c r="D64">
        <v>6</v>
      </c>
      <c r="E64">
        <v>9</v>
      </c>
      <c r="F64">
        <v>-7</v>
      </c>
      <c r="G64">
        <v>5</v>
      </c>
      <c r="H64">
        <v>6</v>
      </c>
      <c r="I64">
        <v>10</v>
      </c>
      <c r="J64">
        <v>-8</v>
      </c>
      <c r="K64">
        <v>45</v>
      </c>
    </row>
    <row r="65" spans="1:11" x14ac:dyDescent="0.25">
      <c r="A65" t="s">
        <v>13</v>
      </c>
      <c r="B65">
        <v>1995</v>
      </c>
      <c r="C65">
        <v>8</v>
      </c>
      <c r="D65">
        <v>8</v>
      </c>
      <c r="E65">
        <v>5</v>
      </c>
      <c r="F65">
        <v>6</v>
      </c>
      <c r="G65">
        <v>2</v>
      </c>
      <c r="H65">
        <v>5</v>
      </c>
      <c r="I65">
        <v>14</v>
      </c>
      <c r="J65">
        <v>-23</v>
      </c>
      <c r="K65">
        <v>43</v>
      </c>
    </row>
    <row r="66" spans="1:11" x14ac:dyDescent="0.25">
      <c r="A66" t="s">
        <v>36</v>
      </c>
      <c r="B66">
        <v>1995</v>
      </c>
      <c r="C66">
        <v>5</v>
      </c>
      <c r="D66">
        <v>6</v>
      </c>
      <c r="E66">
        <v>10</v>
      </c>
      <c r="F66">
        <v>-9</v>
      </c>
      <c r="G66">
        <v>1</v>
      </c>
      <c r="H66">
        <v>5</v>
      </c>
      <c r="I66">
        <v>15</v>
      </c>
      <c r="J66">
        <v>-26</v>
      </c>
      <c r="K66">
        <v>29</v>
      </c>
    </row>
    <row r="67" spans="1:11" x14ac:dyDescent="0.25">
      <c r="A67" t="s">
        <v>24</v>
      </c>
      <c r="B67">
        <v>1995</v>
      </c>
      <c r="C67">
        <v>5</v>
      </c>
      <c r="D67">
        <v>3</v>
      </c>
      <c r="E67">
        <v>13</v>
      </c>
      <c r="F67">
        <v>-10</v>
      </c>
      <c r="G67">
        <v>2</v>
      </c>
      <c r="H67">
        <v>3</v>
      </c>
      <c r="I67">
        <v>16</v>
      </c>
      <c r="J67">
        <v>-47</v>
      </c>
      <c r="K67">
        <v>27</v>
      </c>
    </row>
    <row r="68" spans="1:11" x14ac:dyDescent="0.25">
      <c r="A68" t="s">
        <v>11</v>
      </c>
      <c r="B68">
        <v>1996</v>
      </c>
      <c r="C68">
        <v>15</v>
      </c>
      <c r="D68">
        <v>4</v>
      </c>
      <c r="E68">
        <v>0</v>
      </c>
      <c r="F68">
        <v>27</v>
      </c>
      <c r="G68">
        <v>10</v>
      </c>
      <c r="H68">
        <v>3</v>
      </c>
      <c r="I68">
        <v>6</v>
      </c>
      <c r="J68">
        <v>11</v>
      </c>
      <c r="K68">
        <v>82</v>
      </c>
    </row>
    <row r="69" spans="1:11" x14ac:dyDescent="0.25">
      <c r="A69" t="s">
        <v>33</v>
      </c>
      <c r="B69">
        <v>1996</v>
      </c>
      <c r="C69">
        <v>17</v>
      </c>
      <c r="D69">
        <v>1</v>
      </c>
      <c r="E69">
        <v>1</v>
      </c>
      <c r="F69">
        <v>29</v>
      </c>
      <c r="G69">
        <v>7</v>
      </c>
      <c r="H69">
        <v>5</v>
      </c>
      <c r="I69">
        <v>7</v>
      </c>
      <c r="J69">
        <v>0</v>
      </c>
      <c r="K69">
        <v>78</v>
      </c>
    </row>
    <row r="70" spans="1:11" x14ac:dyDescent="0.25">
      <c r="A70" t="s">
        <v>17</v>
      </c>
      <c r="B70">
        <v>1996</v>
      </c>
      <c r="C70">
        <v>14</v>
      </c>
      <c r="D70">
        <v>4</v>
      </c>
      <c r="E70">
        <v>1</v>
      </c>
      <c r="F70">
        <v>33</v>
      </c>
      <c r="G70">
        <v>6</v>
      </c>
      <c r="H70">
        <v>7</v>
      </c>
      <c r="I70">
        <v>6</v>
      </c>
      <c r="J70">
        <v>3</v>
      </c>
      <c r="K70">
        <v>71</v>
      </c>
    </row>
    <row r="71" spans="1:11" x14ac:dyDescent="0.25">
      <c r="A71" t="s">
        <v>12</v>
      </c>
      <c r="B71">
        <v>1996</v>
      </c>
      <c r="C71">
        <v>11</v>
      </c>
      <c r="D71">
        <v>5</v>
      </c>
      <c r="E71">
        <v>3</v>
      </c>
      <c r="F71">
        <v>17</v>
      </c>
      <c r="G71">
        <v>7</v>
      </c>
      <c r="H71">
        <v>4</v>
      </c>
      <c r="I71">
        <v>8</v>
      </c>
      <c r="J71">
        <v>0</v>
      </c>
      <c r="K71">
        <v>63</v>
      </c>
    </row>
    <row r="72" spans="1:11" x14ac:dyDescent="0.25">
      <c r="A72" t="s">
        <v>20</v>
      </c>
      <c r="B72">
        <v>1996</v>
      </c>
      <c r="C72">
        <v>10</v>
      </c>
      <c r="D72">
        <v>7</v>
      </c>
      <c r="E72">
        <v>2</v>
      </c>
      <c r="F72">
        <v>14</v>
      </c>
      <c r="G72">
        <v>7</v>
      </c>
      <c r="H72">
        <v>5</v>
      </c>
      <c r="I72">
        <v>7</v>
      </c>
      <c r="J72">
        <v>3</v>
      </c>
      <c r="K72">
        <v>63</v>
      </c>
    </row>
    <row r="73" spans="1:11" x14ac:dyDescent="0.25">
      <c r="A73" t="s">
        <v>14</v>
      </c>
      <c r="B73">
        <v>1996</v>
      </c>
      <c r="C73">
        <v>14</v>
      </c>
      <c r="D73">
        <v>2</v>
      </c>
      <c r="E73">
        <v>3</v>
      </c>
      <c r="F73">
        <v>25</v>
      </c>
      <c r="G73">
        <v>4</v>
      </c>
      <c r="H73">
        <v>5</v>
      </c>
      <c r="I73">
        <v>10</v>
      </c>
      <c r="J73">
        <v>-11</v>
      </c>
      <c r="K73">
        <v>61</v>
      </c>
    </row>
    <row r="74" spans="1:11" x14ac:dyDescent="0.25">
      <c r="A74" t="s">
        <v>23</v>
      </c>
      <c r="B74">
        <v>1996</v>
      </c>
      <c r="C74">
        <v>10</v>
      </c>
      <c r="D74">
        <v>5</v>
      </c>
      <c r="E74">
        <v>4</v>
      </c>
      <c r="F74">
        <v>16</v>
      </c>
      <c r="G74">
        <v>7</v>
      </c>
      <c r="H74">
        <v>5</v>
      </c>
      <c r="I74">
        <v>7</v>
      </c>
      <c r="J74">
        <v>4</v>
      </c>
      <c r="K74">
        <v>61</v>
      </c>
    </row>
    <row r="75" spans="1:11" x14ac:dyDescent="0.25">
      <c r="A75" t="s">
        <v>16</v>
      </c>
      <c r="B75">
        <v>1996</v>
      </c>
      <c r="C75">
        <v>9</v>
      </c>
      <c r="D75">
        <v>5</v>
      </c>
      <c r="E75">
        <v>5</v>
      </c>
      <c r="F75">
        <v>7</v>
      </c>
      <c r="G75">
        <v>7</v>
      </c>
      <c r="H75">
        <v>8</v>
      </c>
      <c r="I75">
        <v>4</v>
      </c>
      <c r="J75">
        <v>5</v>
      </c>
      <c r="K75">
        <v>61</v>
      </c>
    </row>
    <row r="76" spans="1:11" x14ac:dyDescent="0.25">
      <c r="A76" t="s">
        <v>32</v>
      </c>
      <c r="B76">
        <v>1996</v>
      </c>
      <c r="C76">
        <v>11</v>
      </c>
      <c r="D76">
        <v>6</v>
      </c>
      <c r="E76">
        <v>2</v>
      </c>
      <c r="F76">
        <v>12</v>
      </c>
      <c r="G76">
        <v>4</v>
      </c>
      <c r="H76">
        <v>7</v>
      </c>
      <c r="I76">
        <v>8</v>
      </c>
      <c r="J76">
        <v>-16</v>
      </c>
      <c r="K76">
        <v>58</v>
      </c>
    </row>
    <row r="77" spans="1:11" x14ac:dyDescent="0.25">
      <c r="A77" t="s">
        <v>34</v>
      </c>
      <c r="B77">
        <v>1996</v>
      </c>
      <c r="C77">
        <v>9</v>
      </c>
      <c r="D77">
        <v>5</v>
      </c>
      <c r="E77">
        <v>5</v>
      </c>
      <c r="F77">
        <v>4</v>
      </c>
      <c r="G77">
        <v>5</v>
      </c>
      <c r="H77">
        <v>4</v>
      </c>
      <c r="I77">
        <v>10</v>
      </c>
      <c r="J77">
        <v>-13</v>
      </c>
      <c r="K77">
        <v>51</v>
      </c>
    </row>
    <row r="78" spans="1:11" x14ac:dyDescent="0.25">
      <c r="A78" t="s">
        <v>21</v>
      </c>
      <c r="B78">
        <v>1996</v>
      </c>
      <c r="C78">
        <v>7</v>
      </c>
      <c r="D78">
        <v>7</v>
      </c>
      <c r="E78">
        <v>5</v>
      </c>
      <c r="F78">
        <v>8</v>
      </c>
      <c r="G78">
        <v>5</v>
      </c>
      <c r="H78">
        <v>7</v>
      </c>
      <c r="I78">
        <v>7</v>
      </c>
      <c r="J78">
        <v>-6</v>
      </c>
      <c r="K78">
        <v>50</v>
      </c>
    </row>
    <row r="79" spans="1:11" x14ac:dyDescent="0.25">
      <c r="A79" t="s">
        <v>27</v>
      </c>
      <c r="B79">
        <v>1996</v>
      </c>
      <c r="C79">
        <v>8</v>
      </c>
      <c r="D79">
        <v>3</v>
      </c>
      <c r="E79">
        <v>8</v>
      </c>
      <c r="F79">
        <v>0</v>
      </c>
      <c r="G79">
        <v>4</v>
      </c>
      <c r="H79">
        <v>4</v>
      </c>
      <c r="I79">
        <v>11</v>
      </c>
      <c r="J79">
        <v>-17</v>
      </c>
      <c r="K79">
        <v>43</v>
      </c>
    </row>
    <row r="80" spans="1:11" x14ac:dyDescent="0.25">
      <c r="A80" t="s">
        <v>31</v>
      </c>
      <c r="B80">
        <v>1996</v>
      </c>
      <c r="C80">
        <v>8</v>
      </c>
      <c r="D80">
        <v>3</v>
      </c>
      <c r="E80">
        <v>8</v>
      </c>
      <c r="F80">
        <v>0</v>
      </c>
      <c r="G80">
        <v>3</v>
      </c>
      <c r="H80">
        <v>7</v>
      </c>
      <c r="I80">
        <v>9</v>
      </c>
      <c r="J80">
        <v>-15</v>
      </c>
      <c r="K80">
        <v>43</v>
      </c>
    </row>
    <row r="81" spans="1:11" x14ac:dyDescent="0.25">
      <c r="A81" t="s">
        <v>22</v>
      </c>
      <c r="B81">
        <v>1996</v>
      </c>
      <c r="C81">
        <v>5</v>
      </c>
      <c r="D81">
        <v>6</v>
      </c>
      <c r="E81">
        <v>8</v>
      </c>
      <c r="F81">
        <v>-6</v>
      </c>
      <c r="G81">
        <v>5</v>
      </c>
      <c r="H81">
        <v>5</v>
      </c>
      <c r="I81">
        <v>9</v>
      </c>
      <c r="J81">
        <v>-9</v>
      </c>
      <c r="K81">
        <v>41</v>
      </c>
    </row>
    <row r="82" spans="1:11" x14ac:dyDescent="0.25">
      <c r="A82" t="s">
        <v>18</v>
      </c>
      <c r="B82">
        <v>1996</v>
      </c>
      <c r="C82">
        <v>7</v>
      </c>
      <c r="D82">
        <v>5</v>
      </c>
      <c r="E82">
        <v>7</v>
      </c>
      <c r="F82">
        <v>-1</v>
      </c>
      <c r="G82">
        <v>3</v>
      </c>
      <c r="H82">
        <v>5</v>
      </c>
      <c r="I82">
        <v>11</v>
      </c>
      <c r="J82">
        <v>-12</v>
      </c>
      <c r="K82">
        <v>40</v>
      </c>
    </row>
    <row r="83" spans="1:11" x14ac:dyDescent="0.25">
      <c r="A83" t="s">
        <v>26</v>
      </c>
      <c r="B83">
        <v>1996</v>
      </c>
      <c r="C83">
        <v>6</v>
      </c>
      <c r="D83">
        <v>7</v>
      </c>
      <c r="E83">
        <v>6</v>
      </c>
      <c r="F83">
        <v>-2</v>
      </c>
      <c r="G83">
        <v>2</v>
      </c>
      <c r="H83">
        <v>7</v>
      </c>
      <c r="I83">
        <v>10</v>
      </c>
      <c r="J83">
        <v>-16</v>
      </c>
      <c r="K83">
        <v>38</v>
      </c>
    </row>
    <row r="84" spans="1:11" x14ac:dyDescent="0.25">
      <c r="A84" t="s">
        <v>19</v>
      </c>
      <c r="B84">
        <v>1996</v>
      </c>
      <c r="C84">
        <v>7</v>
      </c>
      <c r="D84">
        <v>7</v>
      </c>
      <c r="E84">
        <v>5</v>
      </c>
      <c r="F84">
        <v>2</v>
      </c>
      <c r="G84">
        <v>2</v>
      </c>
      <c r="H84">
        <v>4</v>
      </c>
      <c r="I84">
        <v>13</v>
      </c>
      <c r="J84">
        <v>-27</v>
      </c>
      <c r="K84">
        <v>38</v>
      </c>
    </row>
    <row r="85" spans="1:11" x14ac:dyDescent="0.25">
      <c r="A85" t="s">
        <v>28</v>
      </c>
      <c r="B85">
        <v>1996</v>
      </c>
      <c r="C85">
        <v>7</v>
      </c>
      <c r="D85">
        <v>7</v>
      </c>
      <c r="E85">
        <v>5</v>
      </c>
      <c r="F85">
        <v>3</v>
      </c>
      <c r="G85">
        <v>2</v>
      </c>
      <c r="H85">
        <v>4</v>
      </c>
      <c r="I85">
        <v>13</v>
      </c>
      <c r="J85">
        <v>-21</v>
      </c>
      <c r="K85">
        <v>38</v>
      </c>
    </row>
    <row r="86" spans="1:11" x14ac:dyDescent="0.25">
      <c r="A86" t="s">
        <v>15</v>
      </c>
      <c r="B86">
        <v>1996</v>
      </c>
      <c r="C86">
        <v>6</v>
      </c>
      <c r="D86">
        <v>5</v>
      </c>
      <c r="E86">
        <v>8</v>
      </c>
      <c r="F86">
        <v>-1</v>
      </c>
      <c r="G86">
        <v>3</v>
      </c>
      <c r="H86">
        <v>1</v>
      </c>
      <c r="I86">
        <v>15</v>
      </c>
      <c r="J86">
        <v>-18</v>
      </c>
      <c r="K86">
        <v>33</v>
      </c>
    </row>
    <row r="87" spans="1:11" x14ac:dyDescent="0.25">
      <c r="A87" t="s">
        <v>37</v>
      </c>
      <c r="B87">
        <v>1996</v>
      </c>
      <c r="C87">
        <v>5</v>
      </c>
      <c r="D87">
        <v>4</v>
      </c>
      <c r="E87">
        <v>10</v>
      </c>
      <c r="F87">
        <v>-15</v>
      </c>
      <c r="G87">
        <v>3</v>
      </c>
      <c r="H87">
        <v>1</v>
      </c>
      <c r="I87">
        <v>15</v>
      </c>
      <c r="J87">
        <v>-17</v>
      </c>
      <c r="K87">
        <v>29</v>
      </c>
    </row>
    <row r="88" spans="1:11" x14ac:dyDescent="0.25">
      <c r="A88" t="s">
        <v>11</v>
      </c>
      <c r="B88">
        <v>1997</v>
      </c>
      <c r="C88">
        <v>12</v>
      </c>
      <c r="D88">
        <v>5</v>
      </c>
      <c r="E88">
        <v>2</v>
      </c>
      <c r="F88">
        <v>21</v>
      </c>
      <c r="G88">
        <v>9</v>
      </c>
      <c r="H88">
        <v>7</v>
      </c>
      <c r="I88">
        <v>3</v>
      </c>
      <c r="J88">
        <v>11</v>
      </c>
      <c r="K88">
        <v>75</v>
      </c>
    </row>
    <row r="89" spans="1:11" x14ac:dyDescent="0.25">
      <c r="A89" t="s">
        <v>20</v>
      </c>
      <c r="B89">
        <v>1997</v>
      </c>
      <c r="C89">
        <v>10</v>
      </c>
      <c r="D89">
        <v>5</v>
      </c>
      <c r="E89">
        <v>4</v>
      </c>
      <c r="F89">
        <v>18</v>
      </c>
      <c r="G89">
        <v>9</v>
      </c>
      <c r="H89">
        <v>6</v>
      </c>
      <c r="I89">
        <v>4</v>
      </c>
      <c r="J89">
        <v>12</v>
      </c>
      <c r="K89">
        <v>68</v>
      </c>
    </row>
    <row r="90" spans="1:11" x14ac:dyDescent="0.25">
      <c r="A90" t="s">
        <v>17</v>
      </c>
      <c r="B90">
        <v>1997</v>
      </c>
      <c r="C90">
        <v>10</v>
      </c>
      <c r="D90">
        <v>6</v>
      </c>
      <c r="E90">
        <v>3</v>
      </c>
      <c r="F90">
        <v>19</v>
      </c>
      <c r="G90">
        <v>9</v>
      </c>
      <c r="H90">
        <v>5</v>
      </c>
      <c r="I90">
        <v>5</v>
      </c>
      <c r="J90">
        <v>6</v>
      </c>
      <c r="K90">
        <v>68</v>
      </c>
    </row>
    <row r="91" spans="1:11" x14ac:dyDescent="0.25">
      <c r="A91" t="s">
        <v>33</v>
      </c>
      <c r="B91">
        <v>1997</v>
      </c>
      <c r="C91">
        <v>13</v>
      </c>
      <c r="D91">
        <v>3</v>
      </c>
      <c r="E91">
        <v>3</v>
      </c>
      <c r="F91">
        <v>34</v>
      </c>
      <c r="G91">
        <v>6</v>
      </c>
      <c r="H91">
        <v>8</v>
      </c>
      <c r="I91">
        <v>5</v>
      </c>
      <c r="J91">
        <v>-1</v>
      </c>
      <c r="K91">
        <v>68</v>
      </c>
    </row>
    <row r="92" spans="1:11" x14ac:dyDescent="0.25">
      <c r="A92" t="s">
        <v>12</v>
      </c>
      <c r="B92">
        <v>1997</v>
      </c>
      <c r="C92">
        <v>11</v>
      </c>
      <c r="D92">
        <v>5</v>
      </c>
      <c r="E92">
        <v>3</v>
      </c>
      <c r="F92">
        <v>14</v>
      </c>
      <c r="G92">
        <v>6</v>
      </c>
      <c r="H92">
        <v>5</v>
      </c>
      <c r="I92">
        <v>8</v>
      </c>
      <c r="J92">
        <v>-1</v>
      </c>
      <c r="K92">
        <v>61</v>
      </c>
    </row>
    <row r="93" spans="1:11" x14ac:dyDescent="0.25">
      <c r="A93" t="s">
        <v>21</v>
      </c>
      <c r="B93">
        <v>1997</v>
      </c>
      <c r="C93">
        <v>9</v>
      </c>
      <c r="D93">
        <v>8</v>
      </c>
      <c r="E93">
        <v>2</v>
      </c>
      <c r="F93">
        <v>11</v>
      </c>
      <c r="G93">
        <v>7</v>
      </c>
      <c r="H93">
        <v>3</v>
      </c>
      <c r="I93">
        <v>9</v>
      </c>
      <c r="J93">
        <v>-8</v>
      </c>
      <c r="K93">
        <v>59</v>
      </c>
    </row>
    <row r="94" spans="1:11" x14ac:dyDescent="0.25">
      <c r="A94" t="s">
        <v>18</v>
      </c>
      <c r="B94">
        <v>1997</v>
      </c>
      <c r="C94">
        <v>8</v>
      </c>
      <c r="D94">
        <v>10</v>
      </c>
      <c r="E94">
        <v>1</v>
      </c>
      <c r="F94">
        <v>9</v>
      </c>
      <c r="G94">
        <v>6</v>
      </c>
      <c r="H94">
        <v>5</v>
      </c>
      <c r="I94">
        <v>8</v>
      </c>
      <c r="J94">
        <v>-10</v>
      </c>
      <c r="K94">
        <v>57</v>
      </c>
    </row>
    <row r="95" spans="1:11" x14ac:dyDescent="0.25">
      <c r="A95" t="s">
        <v>22</v>
      </c>
      <c r="B95">
        <v>1997</v>
      </c>
      <c r="C95">
        <v>9</v>
      </c>
      <c r="D95">
        <v>6</v>
      </c>
      <c r="E95">
        <v>4</v>
      </c>
      <c r="F95">
        <v>7</v>
      </c>
      <c r="G95">
        <v>6</v>
      </c>
      <c r="H95">
        <v>5</v>
      </c>
      <c r="I95">
        <v>8</v>
      </c>
      <c r="J95">
        <v>-4</v>
      </c>
      <c r="K95">
        <v>56</v>
      </c>
    </row>
    <row r="96" spans="1:11" x14ac:dyDescent="0.25">
      <c r="A96" t="s">
        <v>36</v>
      </c>
      <c r="B96">
        <v>1997</v>
      </c>
      <c r="C96">
        <v>7</v>
      </c>
      <c r="D96">
        <v>5</v>
      </c>
      <c r="E96">
        <v>7</v>
      </c>
      <c r="F96">
        <v>-4</v>
      </c>
      <c r="G96">
        <v>5</v>
      </c>
      <c r="H96">
        <v>6</v>
      </c>
      <c r="I96">
        <v>8</v>
      </c>
      <c r="J96">
        <v>-4</v>
      </c>
      <c r="K96">
        <v>47</v>
      </c>
    </row>
    <row r="97" spans="1:11" x14ac:dyDescent="0.25">
      <c r="A97" t="s">
        <v>27</v>
      </c>
      <c r="B97">
        <v>1997</v>
      </c>
      <c r="C97">
        <v>7</v>
      </c>
      <c r="D97">
        <v>7</v>
      </c>
      <c r="E97">
        <v>5</v>
      </c>
      <c r="F97">
        <v>2</v>
      </c>
      <c r="G97">
        <v>4</v>
      </c>
      <c r="H97">
        <v>6</v>
      </c>
      <c r="I97">
        <v>9</v>
      </c>
      <c r="J97">
        <v>-12</v>
      </c>
      <c r="K97">
        <v>46</v>
      </c>
    </row>
    <row r="98" spans="1:11" x14ac:dyDescent="0.25">
      <c r="A98" t="s">
        <v>16</v>
      </c>
      <c r="B98">
        <v>1997</v>
      </c>
      <c r="C98">
        <v>8</v>
      </c>
      <c r="D98">
        <v>4</v>
      </c>
      <c r="E98">
        <v>7</v>
      </c>
      <c r="F98">
        <v>2</v>
      </c>
      <c r="G98">
        <v>5</v>
      </c>
      <c r="H98">
        <v>3</v>
      </c>
      <c r="I98">
        <v>11</v>
      </c>
      <c r="J98">
        <v>-9</v>
      </c>
      <c r="K98">
        <v>46</v>
      </c>
    </row>
    <row r="99" spans="1:11" x14ac:dyDescent="0.25">
      <c r="A99" t="s">
        <v>38</v>
      </c>
      <c r="B99">
        <v>1997</v>
      </c>
      <c r="C99">
        <v>8</v>
      </c>
      <c r="D99">
        <v>6</v>
      </c>
      <c r="E99">
        <v>5</v>
      </c>
      <c r="F99">
        <v>3</v>
      </c>
      <c r="G99">
        <v>3</v>
      </c>
      <c r="H99">
        <v>7</v>
      </c>
      <c r="I99">
        <v>9</v>
      </c>
      <c r="J99">
        <v>-16</v>
      </c>
      <c r="K99">
        <v>46</v>
      </c>
    </row>
    <row r="100" spans="1:11" x14ac:dyDescent="0.25">
      <c r="A100" t="s">
        <v>34</v>
      </c>
      <c r="B100">
        <v>1997</v>
      </c>
      <c r="C100">
        <v>7</v>
      </c>
      <c r="D100">
        <v>6</v>
      </c>
      <c r="E100">
        <v>6</v>
      </c>
      <c r="F100">
        <v>2</v>
      </c>
      <c r="G100">
        <v>3</v>
      </c>
      <c r="H100">
        <v>6</v>
      </c>
      <c r="I100">
        <v>10</v>
      </c>
      <c r="J100">
        <v>-11</v>
      </c>
      <c r="K100">
        <v>42</v>
      </c>
    </row>
    <row r="101" spans="1:11" x14ac:dyDescent="0.25">
      <c r="A101" t="s">
        <v>31</v>
      </c>
      <c r="B101">
        <v>1997</v>
      </c>
      <c r="C101">
        <v>8</v>
      </c>
      <c r="D101">
        <v>5</v>
      </c>
      <c r="E101">
        <v>6</v>
      </c>
      <c r="F101">
        <v>9</v>
      </c>
      <c r="G101">
        <v>2</v>
      </c>
      <c r="H101">
        <v>7</v>
      </c>
      <c r="I101">
        <v>10</v>
      </c>
      <c r="J101">
        <v>-18</v>
      </c>
      <c r="K101">
        <v>42</v>
      </c>
    </row>
    <row r="102" spans="1:11" x14ac:dyDescent="0.25">
      <c r="A102" t="s">
        <v>23</v>
      </c>
      <c r="B102">
        <v>1997</v>
      </c>
      <c r="C102">
        <v>7</v>
      </c>
      <c r="D102">
        <v>4</v>
      </c>
      <c r="E102">
        <v>8</v>
      </c>
      <c r="F102">
        <v>2</v>
      </c>
      <c r="G102">
        <v>3</v>
      </c>
      <c r="H102">
        <v>8</v>
      </c>
      <c r="I102">
        <v>8</v>
      </c>
      <c r="J102">
        <v>-15</v>
      </c>
      <c r="K102">
        <v>42</v>
      </c>
    </row>
    <row r="103" spans="1:11" x14ac:dyDescent="0.25">
      <c r="A103" t="s">
        <v>14</v>
      </c>
      <c r="B103">
        <v>1997</v>
      </c>
      <c r="C103">
        <v>8</v>
      </c>
      <c r="D103">
        <v>4</v>
      </c>
      <c r="E103">
        <v>7</v>
      </c>
      <c r="F103">
        <v>5</v>
      </c>
      <c r="G103">
        <v>1</v>
      </c>
      <c r="H103">
        <v>11</v>
      </c>
      <c r="I103">
        <v>7</v>
      </c>
      <c r="J103">
        <v>-6</v>
      </c>
      <c r="K103">
        <v>42</v>
      </c>
    </row>
    <row r="104" spans="1:11" x14ac:dyDescent="0.25">
      <c r="A104" t="s">
        <v>26</v>
      </c>
      <c r="B104">
        <v>1997</v>
      </c>
      <c r="C104">
        <v>4</v>
      </c>
      <c r="D104">
        <v>8</v>
      </c>
      <c r="E104">
        <v>7</v>
      </c>
      <c r="F104">
        <v>-4</v>
      </c>
      <c r="G104">
        <v>5</v>
      </c>
      <c r="H104">
        <v>6</v>
      </c>
      <c r="I104">
        <v>8</v>
      </c>
      <c r="J104">
        <v>-12</v>
      </c>
      <c r="K104">
        <v>41</v>
      </c>
    </row>
    <row r="105" spans="1:11" x14ac:dyDescent="0.25">
      <c r="A105" t="s">
        <v>28</v>
      </c>
      <c r="B105">
        <v>1997</v>
      </c>
      <c r="C105">
        <v>6</v>
      </c>
      <c r="D105">
        <v>7</v>
      </c>
      <c r="E105">
        <v>6</v>
      </c>
      <c r="F105">
        <v>8</v>
      </c>
      <c r="G105">
        <v>4</v>
      </c>
      <c r="H105">
        <v>4</v>
      </c>
      <c r="I105">
        <v>11</v>
      </c>
      <c r="J105">
        <v>-14</v>
      </c>
      <c r="K105">
        <v>41</v>
      </c>
    </row>
    <row r="106" spans="1:11" x14ac:dyDescent="0.25">
      <c r="A106" t="s">
        <v>39</v>
      </c>
      <c r="B106">
        <v>1997</v>
      </c>
      <c r="C106">
        <v>7</v>
      </c>
      <c r="D106">
        <v>6</v>
      </c>
      <c r="E106">
        <v>6</v>
      </c>
      <c r="F106">
        <v>2</v>
      </c>
      <c r="G106">
        <v>3</v>
      </c>
      <c r="H106">
        <v>4</v>
      </c>
      <c r="I106">
        <v>12</v>
      </c>
      <c r="J106">
        <v>-20</v>
      </c>
      <c r="K106">
        <v>40</v>
      </c>
    </row>
    <row r="107" spans="1:11" x14ac:dyDescent="0.25">
      <c r="A107" t="s">
        <v>32</v>
      </c>
      <c r="B107">
        <v>1997</v>
      </c>
      <c r="C107">
        <v>3</v>
      </c>
      <c r="D107">
        <v>9</v>
      </c>
      <c r="E107">
        <v>7</v>
      </c>
      <c r="F107">
        <v>-12</v>
      </c>
      <c r="G107">
        <v>3</v>
      </c>
      <c r="H107">
        <v>7</v>
      </c>
      <c r="I107">
        <v>9</v>
      </c>
      <c r="J107">
        <v>-16</v>
      </c>
      <c r="K107">
        <v>34</v>
      </c>
    </row>
    <row r="108" spans="1:11" x14ac:dyDescent="0.25">
      <c r="A108" t="s">
        <v>20</v>
      </c>
      <c r="B108">
        <v>1998</v>
      </c>
      <c r="C108">
        <v>15</v>
      </c>
      <c r="D108">
        <v>2</v>
      </c>
      <c r="E108">
        <v>2</v>
      </c>
      <c r="F108">
        <v>33</v>
      </c>
      <c r="G108">
        <v>8</v>
      </c>
      <c r="H108">
        <v>7</v>
      </c>
      <c r="I108">
        <v>4</v>
      </c>
      <c r="J108">
        <v>2</v>
      </c>
      <c r="K108">
        <v>78</v>
      </c>
    </row>
    <row r="109" spans="1:11" x14ac:dyDescent="0.25">
      <c r="A109" t="s">
        <v>11</v>
      </c>
      <c r="B109">
        <v>1998</v>
      </c>
      <c r="C109">
        <v>13</v>
      </c>
      <c r="D109">
        <v>4</v>
      </c>
      <c r="E109">
        <v>2</v>
      </c>
      <c r="F109">
        <v>33</v>
      </c>
      <c r="G109">
        <v>10</v>
      </c>
      <c r="H109">
        <v>4</v>
      </c>
      <c r="I109">
        <v>5</v>
      </c>
      <c r="J109">
        <v>14</v>
      </c>
      <c r="K109">
        <v>77</v>
      </c>
    </row>
    <row r="110" spans="1:11" x14ac:dyDescent="0.25">
      <c r="A110" t="s">
        <v>17</v>
      </c>
      <c r="B110">
        <v>1998</v>
      </c>
      <c r="C110">
        <v>13</v>
      </c>
      <c r="D110">
        <v>2</v>
      </c>
      <c r="E110">
        <v>4</v>
      </c>
      <c r="F110">
        <v>26</v>
      </c>
      <c r="G110">
        <v>5</v>
      </c>
      <c r="H110">
        <v>9</v>
      </c>
      <c r="I110">
        <v>5</v>
      </c>
      <c r="J110">
        <v>0</v>
      </c>
      <c r="K110">
        <v>65</v>
      </c>
    </row>
    <row r="111" spans="1:11" x14ac:dyDescent="0.25">
      <c r="A111" t="s">
        <v>21</v>
      </c>
      <c r="B111">
        <v>1998</v>
      </c>
      <c r="C111">
        <v>13</v>
      </c>
      <c r="D111">
        <v>2</v>
      </c>
      <c r="E111">
        <v>4</v>
      </c>
      <c r="F111">
        <v>23</v>
      </c>
      <c r="G111">
        <v>7</v>
      </c>
      <c r="H111">
        <v>1</v>
      </c>
      <c r="I111">
        <v>11</v>
      </c>
      <c r="J111">
        <v>5</v>
      </c>
      <c r="K111">
        <v>63</v>
      </c>
    </row>
    <row r="112" spans="1:11" x14ac:dyDescent="0.25">
      <c r="A112" t="s">
        <v>27</v>
      </c>
      <c r="B112">
        <v>1998</v>
      </c>
      <c r="C112">
        <v>9</v>
      </c>
      <c r="D112">
        <v>5</v>
      </c>
      <c r="E112">
        <v>5</v>
      </c>
      <c r="F112">
        <v>10</v>
      </c>
      <c r="G112">
        <v>8</v>
      </c>
      <c r="H112">
        <v>3</v>
      </c>
      <c r="I112">
        <v>8</v>
      </c>
      <c r="J112">
        <v>1</v>
      </c>
      <c r="K112">
        <v>59</v>
      </c>
    </row>
    <row r="113" spans="1:11" x14ac:dyDescent="0.25">
      <c r="A113" t="s">
        <v>14</v>
      </c>
      <c r="B113">
        <v>1998</v>
      </c>
      <c r="C113">
        <v>11</v>
      </c>
      <c r="D113">
        <v>4</v>
      </c>
      <c r="E113">
        <v>4</v>
      </c>
      <c r="F113">
        <v>14</v>
      </c>
      <c r="G113">
        <v>5</v>
      </c>
      <c r="H113">
        <v>6</v>
      </c>
      <c r="I113">
        <v>8</v>
      </c>
      <c r="J113">
        <v>-9</v>
      </c>
      <c r="K113">
        <v>58</v>
      </c>
    </row>
    <row r="114" spans="1:11" x14ac:dyDescent="0.25">
      <c r="A114" t="s">
        <v>12</v>
      </c>
      <c r="B114">
        <v>1998</v>
      </c>
      <c r="C114">
        <v>9</v>
      </c>
      <c r="D114">
        <v>3</v>
      </c>
      <c r="E114">
        <v>7</v>
      </c>
      <c r="F114">
        <v>2</v>
      </c>
      <c r="G114">
        <v>8</v>
      </c>
      <c r="H114">
        <v>3</v>
      </c>
      <c r="I114">
        <v>8</v>
      </c>
      <c r="J114">
        <v>-1</v>
      </c>
      <c r="K114">
        <v>57</v>
      </c>
    </row>
    <row r="115" spans="1:11" x14ac:dyDescent="0.25">
      <c r="A115" t="s">
        <v>34</v>
      </c>
      <c r="B115">
        <v>1998</v>
      </c>
      <c r="C115">
        <v>13</v>
      </c>
      <c r="D115">
        <v>4</v>
      </c>
      <c r="E115">
        <v>2</v>
      </c>
      <c r="F115">
        <v>22</v>
      </c>
      <c r="G115">
        <v>3</v>
      </c>
      <c r="H115">
        <v>4</v>
      </c>
      <c r="I115">
        <v>12</v>
      </c>
      <c r="J115">
        <v>-23</v>
      </c>
      <c r="K115">
        <v>56</v>
      </c>
    </row>
    <row r="116" spans="1:11" x14ac:dyDescent="0.25">
      <c r="A116" t="s">
        <v>38</v>
      </c>
      <c r="B116">
        <v>1998</v>
      </c>
      <c r="C116">
        <v>12</v>
      </c>
      <c r="D116">
        <v>3</v>
      </c>
      <c r="E116">
        <v>4</v>
      </c>
      <c r="F116">
        <v>15</v>
      </c>
      <c r="G116">
        <v>4</v>
      </c>
      <c r="H116">
        <v>4</v>
      </c>
      <c r="I116">
        <v>11</v>
      </c>
      <c r="J116">
        <v>-12</v>
      </c>
      <c r="K116">
        <v>55</v>
      </c>
    </row>
    <row r="117" spans="1:11" x14ac:dyDescent="0.25">
      <c r="A117" t="s">
        <v>36</v>
      </c>
      <c r="B117">
        <v>1998</v>
      </c>
      <c r="C117">
        <v>6</v>
      </c>
      <c r="D117">
        <v>10</v>
      </c>
      <c r="E117">
        <v>3</v>
      </c>
      <c r="F117">
        <v>6</v>
      </c>
      <c r="G117">
        <v>7</v>
      </c>
      <c r="H117">
        <v>4</v>
      </c>
      <c r="I117">
        <v>8</v>
      </c>
      <c r="J117">
        <v>4</v>
      </c>
      <c r="K117">
        <v>53</v>
      </c>
    </row>
    <row r="118" spans="1:11" x14ac:dyDescent="0.25">
      <c r="A118" t="s">
        <v>26</v>
      </c>
      <c r="B118">
        <v>1998</v>
      </c>
      <c r="C118">
        <v>8</v>
      </c>
      <c r="D118">
        <v>9</v>
      </c>
      <c r="E118">
        <v>2</v>
      </c>
      <c r="F118">
        <v>9</v>
      </c>
      <c r="G118">
        <v>4</v>
      </c>
      <c r="H118">
        <v>7</v>
      </c>
      <c r="I118">
        <v>8</v>
      </c>
      <c r="J118">
        <v>-7</v>
      </c>
      <c r="K118">
        <v>52</v>
      </c>
    </row>
    <row r="119" spans="1:11" x14ac:dyDescent="0.25">
      <c r="A119" t="s">
        <v>28</v>
      </c>
      <c r="B119">
        <v>1998</v>
      </c>
      <c r="C119">
        <v>10</v>
      </c>
      <c r="D119">
        <v>1</v>
      </c>
      <c r="E119">
        <v>8</v>
      </c>
      <c r="F119">
        <v>5</v>
      </c>
      <c r="G119">
        <v>4</v>
      </c>
      <c r="H119">
        <v>5</v>
      </c>
      <c r="I119">
        <v>10</v>
      </c>
      <c r="J119">
        <v>-10</v>
      </c>
      <c r="K119">
        <v>48</v>
      </c>
    </row>
    <row r="120" spans="1:11" x14ac:dyDescent="0.25">
      <c r="A120" t="s">
        <v>33</v>
      </c>
      <c r="B120">
        <v>1998</v>
      </c>
      <c r="C120">
        <v>8</v>
      </c>
      <c r="D120">
        <v>5</v>
      </c>
      <c r="E120">
        <v>6</v>
      </c>
      <c r="F120">
        <v>2</v>
      </c>
      <c r="G120">
        <v>3</v>
      </c>
      <c r="H120">
        <v>6</v>
      </c>
      <c r="I120">
        <v>10</v>
      </c>
      <c r="J120">
        <v>-11</v>
      </c>
      <c r="K120">
        <v>44</v>
      </c>
    </row>
    <row r="121" spans="1:11" x14ac:dyDescent="0.25">
      <c r="A121" t="s">
        <v>16</v>
      </c>
      <c r="B121">
        <v>1998</v>
      </c>
      <c r="C121">
        <v>7</v>
      </c>
      <c r="D121">
        <v>8</v>
      </c>
      <c r="E121">
        <v>4</v>
      </c>
      <c r="F121">
        <v>1</v>
      </c>
      <c r="G121">
        <v>4</v>
      </c>
      <c r="H121">
        <v>3</v>
      </c>
      <c r="I121">
        <v>12</v>
      </c>
      <c r="J121">
        <v>-13</v>
      </c>
      <c r="K121">
        <v>44</v>
      </c>
    </row>
    <row r="122" spans="1:11" x14ac:dyDescent="0.25">
      <c r="A122" t="s">
        <v>18</v>
      </c>
      <c r="B122">
        <v>1998</v>
      </c>
      <c r="C122">
        <v>9</v>
      </c>
      <c r="D122">
        <v>5</v>
      </c>
      <c r="E122">
        <v>5</v>
      </c>
      <c r="F122">
        <v>4</v>
      </c>
      <c r="G122">
        <v>3</v>
      </c>
      <c r="H122">
        <v>3</v>
      </c>
      <c r="I122">
        <v>13</v>
      </c>
      <c r="J122">
        <v>-19</v>
      </c>
      <c r="K122">
        <v>44</v>
      </c>
    </row>
    <row r="123" spans="1:11" x14ac:dyDescent="0.25">
      <c r="A123" t="s">
        <v>22</v>
      </c>
      <c r="B123">
        <v>1998</v>
      </c>
      <c r="C123">
        <v>5</v>
      </c>
      <c r="D123">
        <v>6</v>
      </c>
      <c r="E123">
        <v>8</v>
      </c>
      <c r="F123">
        <v>-7</v>
      </c>
      <c r="G123">
        <v>5</v>
      </c>
      <c r="H123">
        <v>8</v>
      </c>
      <c r="I123">
        <v>6</v>
      </c>
      <c r="J123">
        <v>-5</v>
      </c>
      <c r="K123">
        <v>44</v>
      </c>
    </row>
    <row r="124" spans="1:11" x14ac:dyDescent="0.25">
      <c r="A124" t="s">
        <v>23</v>
      </c>
      <c r="B124">
        <v>1998</v>
      </c>
      <c r="C124">
        <v>7</v>
      </c>
      <c r="D124">
        <v>5</v>
      </c>
      <c r="E124">
        <v>7</v>
      </c>
      <c r="F124">
        <v>-2</v>
      </c>
      <c r="G124">
        <v>2</v>
      </c>
      <c r="H124">
        <v>8</v>
      </c>
      <c r="I124">
        <v>9</v>
      </c>
      <c r="J124">
        <v>-13</v>
      </c>
      <c r="K124">
        <v>40</v>
      </c>
    </row>
    <row r="125" spans="1:11" x14ac:dyDescent="0.25">
      <c r="A125" t="s">
        <v>37</v>
      </c>
      <c r="B125">
        <v>1998</v>
      </c>
      <c r="C125">
        <v>7</v>
      </c>
      <c r="D125">
        <v>8</v>
      </c>
      <c r="E125">
        <v>4</v>
      </c>
      <c r="F125">
        <v>3</v>
      </c>
      <c r="G125">
        <v>2</v>
      </c>
      <c r="H125">
        <v>5</v>
      </c>
      <c r="I125">
        <v>12</v>
      </c>
      <c r="J125">
        <v>-23</v>
      </c>
      <c r="K125">
        <v>40</v>
      </c>
    </row>
    <row r="126" spans="1:11" x14ac:dyDescent="0.25">
      <c r="A126" t="s">
        <v>40</v>
      </c>
      <c r="B126">
        <v>1998</v>
      </c>
      <c r="C126">
        <v>7</v>
      </c>
      <c r="D126">
        <v>4</v>
      </c>
      <c r="E126">
        <v>8</v>
      </c>
      <c r="F126">
        <v>-10</v>
      </c>
      <c r="G126">
        <v>3</v>
      </c>
      <c r="H126">
        <v>1</v>
      </c>
      <c r="I126">
        <v>15</v>
      </c>
      <c r="J126">
        <v>-35</v>
      </c>
      <c r="K126">
        <v>35</v>
      </c>
    </row>
    <row r="127" spans="1:11" x14ac:dyDescent="0.25">
      <c r="A127" t="s">
        <v>29</v>
      </c>
      <c r="B127">
        <v>1998</v>
      </c>
      <c r="C127">
        <v>2</v>
      </c>
      <c r="D127">
        <v>5</v>
      </c>
      <c r="E127">
        <v>12</v>
      </c>
      <c r="F127">
        <v>-24</v>
      </c>
      <c r="G127">
        <v>6</v>
      </c>
      <c r="H127">
        <v>4</v>
      </c>
      <c r="I127">
        <v>9</v>
      </c>
      <c r="J127">
        <v>-10</v>
      </c>
      <c r="K127">
        <v>33</v>
      </c>
    </row>
    <row r="128" spans="1:11" x14ac:dyDescent="0.25">
      <c r="A128" t="s">
        <v>11</v>
      </c>
      <c r="B128">
        <v>1999</v>
      </c>
      <c r="C128">
        <v>14</v>
      </c>
      <c r="D128">
        <v>4</v>
      </c>
      <c r="E128">
        <v>1</v>
      </c>
      <c r="F128">
        <v>27</v>
      </c>
      <c r="G128">
        <v>8</v>
      </c>
      <c r="H128">
        <v>9</v>
      </c>
      <c r="I128">
        <v>2</v>
      </c>
      <c r="J128">
        <v>16</v>
      </c>
      <c r="K128">
        <v>79</v>
      </c>
    </row>
    <row r="129" spans="1:11" x14ac:dyDescent="0.25">
      <c r="A129" t="s">
        <v>20</v>
      </c>
      <c r="B129">
        <v>1999</v>
      </c>
      <c r="C129">
        <v>14</v>
      </c>
      <c r="D129">
        <v>5</v>
      </c>
      <c r="E129">
        <v>0</v>
      </c>
      <c r="F129">
        <v>29</v>
      </c>
      <c r="G129">
        <v>8</v>
      </c>
      <c r="H129">
        <v>7</v>
      </c>
      <c r="I129">
        <v>4</v>
      </c>
      <c r="J129">
        <v>13</v>
      </c>
      <c r="K129">
        <v>78</v>
      </c>
    </row>
    <row r="130" spans="1:11" x14ac:dyDescent="0.25">
      <c r="A130" t="s">
        <v>21</v>
      </c>
      <c r="B130">
        <v>1999</v>
      </c>
      <c r="C130">
        <v>12</v>
      </c>
      <c r="D130">
        <v>6</v>
      </c>
      <c r="E130">
        <v>1</v>
      </c>
      <c r="F130">
        <v>16</v>
      </c>
      <c r="G130">
        <v>8</v>
      </c>
      <c r="H130">
        <v>9</v>
      </c>
      <c r="I130">
        <v>2</v>
      </c>
      <c r="J130">
        <v>11</v>
      </c>
      <c r="K130">
        <v>75</v>
      </c>
    </row>
    <row r="131" spans="1:11" x14ac:dyDescent="0.25">
      <c r="A131" t="s">
        <v>27</v>
      </c>
      <c r="B131">
        <v>1999</v>
      </c>
      <c r="C131">
        <v>12</v>
      </c>
      <c r="D131">
        <v>5</v>
      </c>
      <c r="E131">
        <v>2</v>
      </c>
      <c r="F131">
        <v>23</v>
      </c>
      <c r="G131">
        <v>6</v>
      </c>
      <c r="H131">
        <v>8</v>
      </c>
      <c r="I131">
        <v>5</v>
      </c>
      <c r="J131">
        <v>5</v>
      </c>
      <c r="K131">
        <v>67</v>
      </c>
    </row>
    <row r="132" spans="1:11" x14ac:dyDescent="0.25">
      <c r="A132" t="s">
        <v>34</v>
      </c>
      <c r="B132">
        <v>1999</v>
      </c>
      <c r="C132">
        <v>11</v>
      </c>
      <c r="D132">
        <v>3</v>
      </c>
      <c r="E132">
        <v>5</v>
      </c>
      <c r="F132">
        <v>6</v>
      </c>
      <c r="G132">
        <v>5</v>
      </c>
      <c r="H132">
        <v>6</v>
      </c>
      <c r="I132">
        <v>8</v>
      </c>
      <c r="J132">
        <v>-13</v>
      </c>
      <c r="K132">
        <v>57</v>
      </c>
    </row>
    <row r="133" spans="1:11" x14ac:dyDescent="0.25">
      <c r="A133" t="s">
        <v>12</v>
      </c>
      <c r="B133">
        <v>1999</v>
      </c>
      <c r="C133">
        <v>10</v>
      </c>
      <c r="D133">
        <v>3</v>
      </c>
      <c r="E133">
        <v>6</v>
      </c>
      <c r="F133">
        <v>5</v>
      </c>
      <c r="G133">
        <v>5</v>
      </c>
      <c r="H133">
        <v>7</v>
      </c>
      <c r="I133">
        <v>7</v>
      </c>
      <c r="J133">
        <v>0</v>
      </c>
      <c r="K133">
        <v>55</v>
      </c>
    </row>
    <row r="134" spans="1:11" x14ac:dyDescent="0.25">
      <c r="A134" t="s">
        <v>17</v>
      </c>
      <c r="B134">
        <v>1999</v>
      </c>
      <c r="C134">
        <v>10</v>
      </c>
      <c r="D134">
        <v>5</v>
      </c>
      <c r="E134">
        <v>4</v>
      </c>
      <c r="F134">
        <v>20</v>
      </c>
      <c r="G134">
        <v>5</v>
      </c>
      <c r="H134">
        <v>4</v>
      </c>
      <c r="I134">
        <v>10</v>
      </c>
      <c r="J134">
        <v>-1</v>
      </c>
      <c r="K134">
        <v>54</v>
      </c>
    </row>
    <row r="135" spans="1:11" x14ac:dyDescent="0.25">
      <c r="A135" t="s">
        <v>38</v>
      </c>
      <c r="B135">
        <v>1999</v>
      </c>
      <c r="C135">
        <v>8</v>
      </c>
      <c r="D135">
        <v>7</v>
      </c>
      <c r="E135">
        <v>4</v>
      </c>
      <c r="F135">
        <v>3</v>
      </c>
      <c r="G135">
        <v>5</v>
      </c>
      <c r="H135">
        <v>6</v>
      </c>
      <c r="I135">
        <v>8</v>
      </c>
      <c r="J135">
        <v>-8</v>
      </c>
      <c r="K135">
        <v>52</v>
      </c>
    </row>
    <row r="136" spans="1:11" x14ac:dyDescent="0.25">
      <c r="A136" t="s">
        <v>31</v>
      </c>
      <c r="B136">
        <v>1999</v>
      </c>
      <c r="C136">
        <v>7</v>
      </c>
      <c r="D136">
        <v>9</v>
      </c>
      <c r="E136">
        <v>3</v>
      </c>
      <c r="F136">
        <v>7</v>
      </c>
      <c r="G136">
        <v>5</v>
      </c>
      <c r="H136">
        <v>6</v>
      </c>
      <c r="I136">
        <v>8</v>
      </c>
      <c r="J136">
        <v>-13</v>
      </c>
      <c r="K136">
        <v>51</v>
      </c>
    </row>
    <row r="137" spans="1:11" x14ac:dyDescent="0.25">
      <c r="A137" t="s">
        <v>36</v>
      </c>
      <c r="B137">
        <v>1999</v>
      </c>
      <c r="C137">
        <v>7</v>
      </c>
      <c r="D137">
        <v>6</v>
      </c>
      <c r="E137">
        <v>6</v>
      </c>
      <c r="F137">
        <v>0</v>
      </c>
      <c r="G137">
        <v>5</v>
      </c>
      <c r="H137">
        <v>7</v>
      </c>
      <c r="I137">
        <v>7</v>
      </c>
      <c r="J137">
        <v>-6</v>
      </c>
      <c r="K137">
        <v>49</v>
      </c>
    </row>
    <row r="138" spans="1:11" x14ac:dyDescent="0.25">
      <c r="A138" t="s">
        <v>16</v>
      </c>
      <c r="B138">
        <v>1999</v>
      </c>
      <c r="C138">
        <v>7</v>
      </c>
      <c r="D138">
        <v>7</v>
      </c>
      <c r="E138">
        <v>5</v>
      </c>
      <c r="F138">
        <v>2</v>
      </c>
      <c r="G138">
        <v>4</v>
      </c>
      <c r="H138">
        <v>7</v>
      </c>
      <c r="I138">
        <v>8</v>
      </c>
      <c r="J138">
        <v>-5</v>
      </c>
      <c r="K138">
        <v>47</v>
      </c>
    </row>
    <row r="139" spans="1:11" x14ac:dyDescent="0.25">
      <c r="A139" t="s">
        <v>33</v>
      </c>
      <c r="B139">
        <v>1999</v>
      </c>
      <c r="C139">
        <v>7</v>
      </c>
      <c r="D139">
        <v>6</v>
      </c>
      <c r="E139">
        <v>6</v>
      </c>
      <c r="F139">
        <v>1</v>
      </c>
      <c r="G139">
        <v>4</v>
      </c>
      <c r="H139">
        <v>7</v>
      </c>
      <c r="I139">
        <v>8</v>
      </c>
      <c r="J139">
        <v>-7</v>
      </c>
      <c r="K139">
        <v>46</v>
      </c>
    </row>
    <row r="140" spans="1:11" x14ac:dyDescent="0.25">
      <c r="A140" t="s">
        <v>18</v>
      </c>
      <c r="B140">
        <v>1999</v>
      </c>
      <c r="C140">
        <v>7</v>
      </c>
      <c r="D140">
        <v>5</v>
      </c>
      <c r="E140">
        <v>7</v>
      </c>
      <c r="F140">
        <v>5</v>
      </c>
      <c r="G140">
        <v>6</v>
      </c>
      <c r="H140">
        <v>2</v>
      </c>
      <c r="I140">
        <v>11</v>
      </c>
      <c r="J140">
        <v>-6</v>
      </c>
      <c r="K140">
        <v>46</v>
      </c>
    </row>
    <row r="141" spans="1:11" x14ac:dyDescent="0.25">
      <c r="A141" t="s">
        <v>23</v>
      </c>
      <c r="B141">
        <v>1999</v>
      </c>
      <c r="C141">
        <v>6</v>
      </c>
      <c r="D141">
        <v>8</v>
      </c>
      <c r="E141">
        <v>5</v>
      </c>
      <c r="F141">
        <v>10</v>
      </c>
      <c r="G141">
        <v>5</v>
      </c>
      <c r="H141">
        <v>2</v>
      </c>
      <c r="I141">
        <v>12</v>
      </c>
      <c r="J141">
        <v>-15</v>
      </c>
      <c r="K141">
        <v>43</v>
      </c>
    </row>
    <row r="142" spans="1:11" x14ac:dyDescent="0.25">
      <c r="A142" t="s">
        <v>26</v>
      </c>
      <c r="B142">
        <v>1999</v>
      </c>
      <c r="C142">
        <v>8</v>
      </c>
      <c r="D142">
        <v>6</v>
      </c>
      <c r="E142">
        <v>5</v>
      </c>
      <c r="F142">
        <v>5</v>
      </c>
      <c r="G142">
        <v>3</v>
      </c>
      <c r="H142">
        <v>3</v>
      </c>
      <c r="I142">
        <v>13</v>
      </c>
      <c r="J142">
        <v>-17</v>
      </c>
      <c r="K142">
        <v>42</v>
      </c>
    </row>
    <row r="143" spans="1:11" x14ac:dyDescent="0.25">
      <c r="A143" t="s">
        <v>22</v>
      </c>
      <c r="B143">
        <v>1999</v>
      </c>
      <c r="C143">
        <v>7</v>
      </c>
      <c r="D143">
        <v>7</v>
      </c>
      <c r="E143">
        <v>5</v>
      </c>
      <c r="F143">
        <v>1</v>
      </c>
      <c r="G143">
        <v>3</v>
      </c>
      <c r="H143">
        <v>5</v>
      </c>
      <c r="I143">
        <v>11</v>
      </c>
      <c r="J143">
        <v>-24</v>
      </c>
      <c r="K143">
        <v>42</v>
      </c>
    </row>
    <row r="144" spans="1:11" x14ac:dyDescent="0.25">
      <c r="A144" t="s">
        <v>28</v>
      </c>
      <c r="B144">
        <v>1999</v>
      </c>
      <c r="C144">
        <v>9</v>
      </c>
      <c r="D144">
        <v>4</v>
      </c>
      <c r="E144">
        <v>6</v>
      </c>
      <c r="F144">
        <v>3</v>
      </c>
      <c r="G144">
        <v>2</v>
      </c>
      <c r="H144">
        <v>4</v>
      </c>
      <c r="I144">
        <v>13</v>
      </c>
      <c r="J144">
        <v>-30</v>
      </c>
      <c r="K144">
        <v>41</v>
      </c>
    </row>
    <row r="145" spans="1:11" x14ac:dyDescent="0.25">
      <c r="A145" t="s">
        <v>41</v>
      </c>
      <c r="B145">
        <v>1999</v>
      </c>
      <c r="C145">
        <v>4</v>
      </c>
      <c r="D145">
        <v>7</v>
      </c>
      <c r="E145">
        <v>8</v>
      </c>
      <c r="F145">
        <v>0</v>
      </c>
      <c r="G145">
        <v>4</v>
      </c>
      <c r="H145">
        <v>5</v>
      </c>
      <c r="I145">
        <v>10</v>
      </c>
      <c r="J145">
        <v>-15</v>
      </c>
      <c r="K145">
        <v>36</v>
      </c>
    </row>
    <row r="146" spans="1:11" x14ac:dyDescent="0.25">
      <c r="A146" t="s">
        <v>14</v>
      </c>
      <c r="B146">
        <v>1999</v>
      </c>
      <c r="C146">
        <v>6</v>
      </c>
      <c r="D146">
        <v>5</v>
      </c>
      <c r="E146">
        <v>8</v>
      </c>
      <c r="F146">
        <v>-3</v>
      </c>
      <c r="G146">
        <v>1</v>
      </c>
      <c r="H146">
        <v>9</v>
      </c>
      <c r="I146">
        <v>9</v>
      </c>
      <c r="J146">
        <v>-11</v>
      </c>
      <c r="K146">
        <v>35</v>
      </c>
    </row>
    <row r="147" spans="1:11" x14ac:dyDescent="0.25">
      <c r="A147" t="s">
        <v>32</v>
      </c>
      <c r="B147">
        <v>1999</v>
      </c>
      <c r="C147">
        <v>3</v>
      </c>
      <c r="D147">
        <v>7</v>
      </c>
      <c r="E147">
        <v>9</v>
      </c>
      <c r="F147">
        <v>-13</v>
      </c>
      <c r="G147">
        <v>4</v>
      </c>
      <c r="H147">
        <v>2</v>
      </c>
      <c r="I147">
        <v>13</v>
      </c>
      <c r="J147">
        <v>-21</v>
      </c>
      <c r="K147">
        <v>30</v>
      </c>
    </row>
    <row r="148" spans="1:11" x14ac:dyDescent="0.25">
      <c r="A148" t="s">
        <v>11</v>
      </c>
      <c r="B148">
        <v>2000</v>
      </c>
      <c r="C148">
        <v>15</v>
      </c>
      <c r="D148">
        <v>4</v>
      </c>
      <c r="E148">
        <v>0</v>
      </c>
      <c r="F148">
        <v>43</v>
      </c>
      <c r="G148">
        <v>13</v>
      </c>
      <c r="H148">
        <v>3</v>
      </c>
      <c r="I148">
        <v>3</v>
      </c>
      <c r="J148">
        <v>9</v>
      </c>
      <c r="K148">
        <v>91</v>
      </c>
    </row>
    <row r="149" spans="1:11" x14ac:dyDescent="0.25">
      <c r="A149" t="s">
        <v>20</v>
      </c>
      <c r="B149">
        <v>2000</v>
      </c>
      <c r="C149">
        <v>14</v>
      </c>
      <c r="D149">
        <v>3</v>
      </c>
      <c r="E149">
        <v>2</v>
      </c>
      <c r="F149">
        <v>25</v>
      </c>
      <c r="G149">
        <v>8</v>
      </c>
      <c r="H149">
        <v>4</v>
      </c>
      <c r="I149">
        <v>7</v>
      </c>
      <c r="J149">
        <v>5</v>
      </c>
      <c r="K149">
        <v>73</v>
      </c>
    </row>
    <row r="150" spans="1:11" x14ac:dyDescent="0.25">
      <c r="A150" t="s">
        <v>27</v>
      </c>
      <c r="B150">
        <v>2000</v>
      </c>
      <c r="C150">
        <v>12</v>
      </c>
      <c r="D150">
        <v>2</v>
      </c>
      <c r="E150">
        <v>5</v>
      </c>
      <c r="F150">
        <v>11</v>
      </c>
      <c r="G150">
        <v>9</v>
      </c>
      <c r="H150">
        <v>4</v>
      </c>
      <c r="I150">
        <v>6</v>
      </c>
      <c r="J150">
        <v>4</v>
      </c>
      <c r="K150">
        <v>69</v>
      </c>
    </row>
    <row r="151" spans="1:11" x14ac:dyDescent="0.25">
      <c r="A151" t="s">
        <v>17</v>
      </c>
      <c r="B151">
        <v>2000</v>
      </c>
      <c r="C151">
        <v>11</v>
      </c>
      <c r="D151">
        <v>4</v>
      </c>
      <c r="E151">
        <v>4</v>
      </c>
      <c r="F151">
        <v>15</v>
      </c>
      <c r="G151">
        <v>8</v>
      </c>
      <c r="H151">
        <v>6</v>
      </c>
      <c r="I151">
        <v>5</v>
      </c>
      <c r="J151">
        <v>6</v>
      </c>
      <c r="K151">
        <v>67</v>
      </c>
    </row>
    <row r="152" spans="1:11" x14ac:dyDescent="0.25">
      <c r="A152" t="s">
        <v>21</v>
      </c>
      <c r="B152">
        <v>2000</v>
      </c>
      <c r="C152">
        <v>12</v>
      </c>
      <c r="D152">
        <v>5</v>
      </c>
      <c r="E152">
        <v>2</v>
      </c>
      <c r="F152">
        <v>23</v>
      </c>
      <c r="G152">
        <v>6</v>
      </c>
      <c r="H152">
        <v>6</v>
      </c>
      <c r="I152">
        <v>7</v>
      </c>
      <c r="J152">
        <v>-4</v>
      </c>
      <c r="K152">
        <v>65</v>
      </c>
    </row>
    <row r="153" spans="1:11" x14ac:dyDescent="0.25">
      <c r="A153" t="s">
        <v>39</v>
      </c>
      <c r="B153">
        <v>2000</v>
      </c>
      <c r="C153">
        <v>10</v>
      </c>
      <c r="D153">
        <v>6</v>
      </c>
      <c r="E153">
        <v>3</v>
      </c>
      <c r="F153">
        <v>11</v>
      </c>
      <c r="G153">
        <v>6</v>
      </c>
      <c r="H153">
        <v>4</v>
      </c>
      <c r="I153">
        <v>9</v>
      </c>
      <c r="J153">
        <v>-10</v>
      </c>
      <c r="K153">
        <v>58</v>
      </c>
    </row>
    <row r="154" spans="1:11" x14ac:dyDescent="0.25">
      <c r="A154" t="s">
        <v>12</v>
      </c>
      <c r="B154">
        <v>2000</v>
      </c>
      <c r="C154">
        <v>8</v>
      </c>
      <c r="D154">
        <v>8</v>
      </c>
      <c r="E154">
        <v>3</v>
      </c>
      <c r="F154">
        <v>11</v>
      </c>
      <c r="G154">
        <v>7</v>
      </c>
      <c r="H154">
        <v>5</v>
      </c>
      <c r="I154">
        <v>7</v>
      </c>
      <c r="J154">
        <v>0</v>
      </c>
      <c r="K154">
        <v>58</v>
      </c>
    </row>
    <row r="155" spans="1:11" x14ac:dyDescent="0.25">
      <c r="A155" t="s">
        <v>36</v>
      </c>
      <c r="B155">
        <v>2000</v>
      </c>
      <c r="C155">
        <v>10</v>
      </c>
      <c r="D155">
        <v>3</v>
      </c>
      <c r="E155">
        <v>6</v>
      </c>
      <c r="F155">
        <v>7</v>
      </c>
      <c r="G155">
        <v>6</v>
      </c>
      <c r="H155">
        <v>4</v>
      </c>
      <c r="I155">
        <v>9</v>
      </c>
      <c r="J155">
        <v>-7</v>
      </c>
      <c r="K155">
        <v>55</v>
      </c>
    </row>
    <row r="156" spans="1:11" x14ac:dyDescent="0.25">
      <c r="A156" t="s">
        <v>34</v>
      </c>
      <c r="B156">
        <v>2000</v>
      </c>
      <c r="C156">
        <v>11</v>
      </c>
      <c r="D156">
        <v>5</v>
      </c>
      <c r="E156">
        <v>3</v>
      </c>
      <c r="F156">
        <v>9</v>
      </c>
      <c r="G156">
        <v>4</v>
      </c>
      <c r="H156">
        <v>5</v>
      </c>
      <c r="I156">
        <v>10</v>
      </c>
      <c r="J156">
        <v>-10</v>
      </c>
      <c r="K156">
        <v>55</v>
      </c>
    </row>
    <row r="157" spans="1:11" x14ac:dyDescent="0.25">
      <c r="A157" t="s">
        <v>16</v>
      </c>
      <c r="B157">
        <v>2000</v>
      </c>
      <c r="C157">
        <v>10</v>
      </c>
      <c r="D157">
        <v>3</v>
      </c>
      <c r="E157">
        <v>6</v>
      </c>
      <c r="F157">
        <v>14</v>
      </c>
      <c r="G157">
        <v>5</v>
      </c>
      <c r="H157">
        <v>5</v>
      </c>
      <c r="I157">
        <v>9</v>
      </c>
      <c r="J157">
        <v>-6</v>
      </c>
      <c r="K157">
        <v>53</v>
      </c>
    </row>
    <row r="158" spans="1:11" x14ac:dyDescent="0.25">
      <c r="A158" t="s">
        <v>31</v>
      </c>
      <c r="B158">
        <v>2000</v>
      </c>
      <c r="C158">
        <v>8</v>
      </c>
      <c r="D158">
        <v>5</v>
      </c>
      <c r="E158">
        <v>6</v>
      </c>
      <c r="F158">
        <v>-3</v>
      </c>
      <c r="G158">
        <v>6</v>
      </c>
      <c r="H158">
        <v>5</v>
      </c>
      <c r="I158">
        <v>8</v>
      </c>
      <c r="J158">
        <v>-3</v>
      </c>
      <c r="K158">
        <v>52</v>
      </c>
    </row>
    <row r="159" spans="1:11" x14ac:dyDescent="0.25">
      <c r="A159" t="s">
        <v>33</v>
      </c>
      <c r="B159">
        <v>2000</v>
      </c>
      <c r="C159">
        <v>10</v>
      </c>
      <c r="D159">
        <v>5</v>
      </c>
      <c r="E159">
        <v>4</v>
      </c>
      <c r="F159">
        <v>22</v>
      </c>
      <c r="G159">
        <v>4</v>
      </c>
      <c r="H159">
        <v>5</v>
      </c>
      <c r="I159">
        <v>10</v>
      </c>
      <c r="J159">
        <v>-13</v>
      </c>
      <c r="K159">
        <v>52</v>
      </c>
    </row>
    <row r="160" spans="1:11" x14ac:dyDescent="0.25">
      <c r="A160" t="s">
        <v>23</v>
      </c>
      <c r="B160">
        <v>2000</v>
      </c>
      <c r="C160">
        <v>7</v>
      </c>
      <c r="D160">
        <v>9</v>
      </c>
      <c r="E160">
        <v>3</v>
      </c>
      <c r="F160">
        <v>15</v>
      </c>
      <c r="G160">
        <v>5</v>
      </c>
      <c r="H160">
        <v>5</v>
      </c>
      <c r="I160">
        <v>9</v>
      </c>
      <c r="J160">
        <v>-5</v>
      </c>
      <c r="K160">
        <v>50</v>
      </c>
    </row>
    <row r="161" spans="1:11" x14ac:dyDescent="0.25">
      <c r="A161" t="s">
        <v>28</v>
      </c>
      <c r="B161">
        <v>2000</v>
      </c>
      <c r="C161">
        <v>8</v>
      </c>
      <c r="D161">
        <v>4</v>
      </c>
      <c r="E161">
        <v>7</v>
      </c>
      <c r="F161">
        <v>4</v>
      </c>
      <c r="G161">
        <v>4</v>
      </c>
      <c r="H161">
        <v>4</v>
      </c>
      <c r="I161">
        <v>11</v>
      </c>
      <c r="J161">
        <v>-21</v>
      </c>
      <c r="K161">
        <v>44</v>
      </c>
    </row>
    <row r="162" spans="1:11" x14ac:dyDescent="0.25">
      <c r="A162" t="s">
        <v>26</v>
      </c>
      <c r="B162">
        <v>2000</v>
      </c>
      <c r="C162">
        <v>12</v>
      </c>
      <c r="D162">
        <v>1</v>
      </c>
      <c r="E162">
        <v>6</v>
      </c>
      <c r="F162">
        <v>16</v>
      </c>
      <c r="G162">
        <v>0</v>
      </c>
      <c r="H162">
        <v>7</v>
      </c>
      <c r="I162">
        <v>12</v>
      </c>
      <c r="J162">
        <v>-23</v>
      </c>
      <c r="K162">
        <v>44</v>
      </c>
    </row>
    <row r="163" spans="1:11" x14ac:dyDescent="0.25">
      <c r="A163" t="s">
        <v>38</v>
      </c>
      <c r="B163">
        <v>2000</v>
      </c>
      <c r="C163">
        <v>6</v>
      </c>
      <c r="D163">
        <v>3</v>
      </c>
      <c r="E163">
        <v>10</v>
      </c>
      <c r="F163">
        <v>-3</v>
      </c>
      <c r="G163">
        <v>3</v>
      </c>
      <c r="H163">
        <v>8</v>
      </c>
      <c r="I163">
        <v>8</v>
      </c>
      <c r="J163">
        <v>-10</v>
      </c>
      <c r="K163">
        <v>38</v>
      </c>
    </row>
    <row r="164" spans="1:11" x14ac:dyDescent="0.25">
      <c r="A164" t="s">
        <v>42</v>
      </c>
      <c r="B164">
        <v>2000</v>
      </c>
      <c r="C164">
        <v>6</v>
      </c>
      <c r="D164">
        <v>8</v>
      </c>
      <c r="E164">
        <v>5</v>
      </c>
      <c r="F164">
        <v>-3</v>
      </c>
      <c r="G164">
        <v>3</v>
      </c>
      <c r="H164">
        <v>1</v>
      </c>
      <c r="I164">
        <v>15</v>
      </c>
      <c r="J164">
        <v>-27</v>
      </c>
      <c r="K164">
        <v>36</v>
      </c>
    </row>
    <row r="165" spans="1:11" x14ac:dyDescent="0.25">
      <c r="A165" t="s">
        <v>22</v>
      </c>
      <c r="B165">
        <v>2000</v>
      </c>
      <c r="C165">
        <v>6</v>
      </c>
      <c r="D165">
        <v>7</v>
      </c>
      <c r="E165">
        <v>6</v>
      </c>
      <c r="F165">
        <v>2</v>
      </c>
      <c r="G165">
        <v>1</v>
      </c>
      <c r="H165">
        <v>5</v>
      </c>
      <c r="I165">
        <v>13</v>
      </c>
      <c r="J165">
        <v>-30</v>
      </c>
      <c r="K165">
        <v>33</v>
      </c>
    </row>
    <row r="166" spans="1:11" x14ac:dyDescent="0.25">
      <c r="A166" t="s">
        <v>18</v>
      </c>
      <c r="B166">
        <v>2000</v>
      </c>
      <c r="C166">
        <v>6</v>
      </c>
      <c r="D166">
        <v>3</v>
      </c>
      <c r="E166">
        <v>10</v>
      </c>
      <c r="F166">
        <v>-2</v>
      </c>
      <c r="G166">
        <v>2</v>
      </c>
      <c r="H166">
        <v>4</v>
      </c>
      <c r="I166">
        <v>13</v>
      </c>
      <c r="J166">
        <v>-30</v>
      </c>
      <c r="K166">
        <v>31</v>
      </c>
    </row>
    <row r="167" spans="1:11" x14ac:dyDescent="0.25">
      <c r="A167" t="s">
        <v>43</v>
      </c>
      <c r="B167">
        <v>2000</v>
      </c>
      <c r="C167">
        <v>5</v>
      </c>
      <c r="D167">
        <v>4</v>
      </c>
      <c r="E167">
        <v>10</v>
      </c>
      <c r="F167">
        <v>-7</v>
      </c>
      <c r="G167">
        <v>1</v>
      </c>
      <c r="H167">
        <v>2</v>
      </c>
      <c r="I167">
        <v>16</v>
      </c>
      <c r="J167">
        <v>-35</v>
      </c>
      <c r="K167">
        <v>24</v>
      </c>
    </row>
    <row r="168" spans="1:11" x14ac:dyDescent="0.25">
      <c r="A168" t="s">
        <v>11</v>
      </c>
      <c r="B168">
        <v>2001</v>
      </c>
      <c r="C168">
        <v>15</v>
      </c>
      <c r="D168">
        <v>2</v>
      </c>
      <c r="E168">
        <v>2</v>
      </c>
      <c r="F168">
        <v>37</v>
      </c>
      <c r="G168">
        <v>9</v>
      </c>
      <c r="H168">
        <v>6</v>
      </c>
      <c r="I168">
        <v>4</v>
      </c>
      <c r="J168">
        <v>11</v>
      </c>
      <c r="K168">
        <v>80</v>
      </c>
    </row>
    <row r="169" spans="1:11" x14ac:dyDescent="0.25">
      <c r="A169" t="s">
        <v>20</v>
      </c>
      <c r="B169">
        <v>2001</v>
      </c>
      <c r="C169">
        <v>15</v>
      </c>
      <c r="D169">
        <v>3</v>
      </c>
      <c r="E169">
        <v>1</v>
      </c>
      <c r="F169">
        <v>32</v>
      </c>
      <c r="G169">
        <v>5</v>
      </c>
      <c r="H169">
        <v>7</v>
      </c>
      <c r="I169">
        <v>7</v>
      </c>
      <c r="J169">
        <v>-7</v>
      </c>
      <c r="K169">
        <v>70</v>
      </c>
    </row>
    <row r="170" spans="1:11" x14ac:dyDescent="0.25">
      <c r="A170" t="s">
        <v>17</v>
      </c>
      <c r="B170">
        <v>2001</v>
      </c>
      <c r="C170">
        <v>13</v>
      </c>
      <c r="D170">
        <v>4</v>
      </c>
      <c r="E170">
        <v>2</v>
      </c>
      <c r="F170">
        <v>26</v>
      </c>
      <c r="G170">
        <v>7</v>
      </c>
      <c r="H170">
        <v>5</v>
      </c>
      <c r="I170">
        <v>7</v>
      </c>
      <c r="J170">
        <v>6</v>
      </c>
      <c r="K170">
        <v>69</v>
      </c>
    </row>
    <row r="171" spans="1:11" x14ac:dyDescent="0.25">
      <c r="A171" t="s">
        <v>27</v>
      </c>
      <c r="B171">
        <v>2001</v>
      </c>
      <c r="C171">
        <v>11</v>
      </c>
      <c r="D171">
        <v>3</v>
      </c>
      <c r="E171">
        <v>5</v>
      </c>
      <c r="F171">
        <v>15</v>
      </c>
      <c r="G171">
        <v>9</v>
      </c>
      <c r="H171">
        <v>5</v>
      </c>
      <c r="I171">
        <v>5</v>
      </c>
      <c r="J171">
        <v>6</v>
      </c>
      <c r="K171">
        <v>68</v>
      </c>
    </row>
    <row r="172" spans="1:11" x14ac:dyDescent="0.25">
      <c r="A172" t="s">
        <v>24</v>
      </c>
      <c r="B172">
        <v>2001</v>
      </c>
      <c r="C172">
        <v>11</v>
      </c>
      <c r="D172">
        <v>5</v>
      </c>
      <c r="E172">
        <v>3</v>
      </c>
      <c r="F172">
        <v>16</v>
      </c>
      <c r="G172">
        <v>9</v>
      </c>
      <c r="H172">
        <v>1</v>
      </c>
      <c r="I172">
        <v>9</v>
      </c>
      <c r="J172">
        <v>-1</v>
      </c>
      <c r="K172">
        <v>66</v>
      </c>
    </row>
    <row r="173" spans="1:11" x14ac:dyDescent="0.25">
      <c r="A173" t="s">
        <v>21</v>
      </c>
      <c r="B173">
        <v>2001</v>
      </c>
      <c r="C173">
        <v>13</v>
      </c>
      <c r="D173">
        <v>3</v>
      </c>
      <c r="E173">
        <v>3</v>
      </c>
      <c r="F173">
        <v>24</v>
      </c>
      <c r="G173">
        <v>4</v>
      </c>
      <c r="H173">
        <v>7</v>
      </c>
      <c r="I173">
        <v>8</v>
      </c>
      <c r="J173">
        <v>-1</v>
      </c>
      <c r="K173">
        <v>61</v>
      </c>
    </row>
    <row r="174" spans="1:11" x14ac:dyDescent="0.25">
      <c r="A174" t="s">
        <v>39</v>
      </c>
      <c r="B174">
        <v>2001</v>
      </c>
      <c r="C174">
        <v>9</v>
      </c>
      <c r="D174">
        <v>7</v>
      </c>
      <c r="E174">
        <v>3</v>
      </c>
      <c r="F174">
        <v>8</v>
      </c>
      <c r="G174">
        <v>6</v>
      </c>
      <c r="H174">
        <v>5</v>
      </c>
      <c r="I174">
        <v>8</v>
      </c>
      <c r="J174">
        <v>-3</v>
      </c>
      <c r="K174">
        <v>57</v>
      </c>
    </row>
    <row r="175" spans="1:11" x14ac:dyDescent="0.25">
      <c r="A175" t="s">
        <v>12</v>
      </c>
      <c r="B175">
        <v>2001</v>
      </c>
      <c r="C175">
        <v>8</v>
      </c>
      <c r="D175">
        <v>8</v>
      </c>
      <c r="E175">
        <v>3</v>
      </c>
      <c r="F175">
        <v>7</v>
      </c>
      <c r="G175">
        <v>5</v>
      </c>
      <c r="H175">
        <v>7</v>
      </c>
      <c r="I175">
        <v>7</v>
      </c>
      <c r="J175">
        <v>-4</v>
      </c>
      <c r="K175">
        <v>54</v>
      </c>
    </row>
    <row r="176" spans="1:11" x14ac:dyDescent="0.25">
      <c r="A176" t="s">
        <v>28</v>
      </c>
      <c r="B176">
        <v>2001</v>
      </c>
      <c r="C176">
        <v>11</v>
      </c>
      <c r="D176">
        <v>2</v>
      </c>
      <c r="E176">
        <v>6</v>
      </c>
      <c r="F176">
        <v>5</v>
      </c>
      <c r="G176">
        <v>3</v>
      </c>
      <c r="H176">
        <v>8</v>
      </c>
      <c r="I176">
        <v>8</v>
      </c>
      <c r="J176">
        <v>-13</v>
      </c>
      <c r="K176">
        <v>52</v>
      </c>
    </row>
    <row r="177" spans="1:11" x14ac:dyDescent="0.25">
      <c r="A177" t="s">
        <v>41</v>
      </c>
      <c r="B177">
        <v>2001</v>
      </c>
      <c r="C177">
        <v>11</v>
      </c>
      <c r="D177">
        <v>5</v>
      </c>
      <c r="E177">
        <v>3</v>
      </c>
      <c r="F177">
        <v>12</v>
      </c>
      <c r="G177">
        <v>3</v>
      </c>
      <c r="H177">
        <v>5</v>
      </c>
      <c r="I177">
        <v>11</v>
      </c>
      <c r="J177">
        <v>-19</v>
      </c>
      <c r="K177">
        <v>52</v>
      </c>
    </row>
    <row r="178" spans="1:11" x14ac:dyDescent="0.25">
      <c r="A178" t="s">
        <v>33</v>
      </c>
      <c r="B178">
        <v>2001</v>
      </c>
      <c r="C178">
        <v>10</v>
      </c>
      <c r="D178">
        <v>4</v>
      </c>
      <c r="E178">
        <v>5</v>
      </c>
      <c r="F178">
        <v>9</v>
      </c>
      <c r="G178">
        <v>4</v>
      </c>
      <c r="H178">
        <v>5</v>
      </c>
      <c r="I178">
        <v>10</v>
      </c>
      <c r="J178">
        <v>-15</v>
      </c>
      <c r="K178">
        <v>51</v>
      </c>
    </row>
    <row r="179" spans="1:11" x14ac:dyDescent="0.25">
      <c r="A179" t="s">
        <v>16</v>
      </c>
      <c r="B179">
        <v>2001</v>
      </c>
      <c r="C179">
        <v>11</v>
      </c>
      <c r="D179">
        <v>6</v>
      </c>
      <c r="E179">
        <v>2</v>
      </c>
      <c r="F179">
        <v>15</v>
      </c>
      <c r="G179">
        <v>2</v>
      </c>
      <c r="H179">
        <v>4</v>
      </c>
      <c r="I179">
        <v>13</v>
      </c>
      <c r="J179">
        <v>-22</v>
      </c>
      <c r="K179">
        <v>49</v>
      </c>
    </row>
    <row r="180" spans="1:11" x14ac:dyDescent="0.25">
      <c r="A180" t="s">
        <v>36</v>
      </c>
      <c r="B180">
        <v>2001</v>
      </c>
      <c r="C180">
        <v>10</v>
      </c>
      <c r="D180">
        <v>4</v>
      </c>
      <c r="E180">
        <v>5</v>
      </c>
      <c r="F180">
        <v>5</v>
      </c>
      <c r="G180">
        <v>4</v>
      </c>
      <c r="H180">
        <v>2</v>
      </c>
      <c r="I180">
        <v>13</v>
      </c>
      <c r="J180">
        <v>-17</v>
      </c>
      <c r="K180">
        <v>48</v>
      </c>
    </row>
    <row r="181" spans="1:11" x14ac:dyDescent="0.25">
      <c r="A181" t="s">
        <v>34</v>
      </c>
      <c r="B181">
        <v>2001</v>
      </c>
      <c r="C181">
        <v>6</v>
      </c>
      <c r="D181">
        <v>6</v>
      </c>
      <c r="E181">
        <v>7</v>
      </c>
      <c r="F181">
        <v>4</v>
      </c>
      <c r="G181">
        <v>4</v>
      </c>
      <c r="H181">
        <v>6</v>
      </c>
      <c r="I181">
        <v>9</v>
      </c>
      <c r="J181">
        <v>-9</v>
      </c>
      <c r="K181">
        <v>42</v>
      </c>
    </row>
    <row r="182" spans="1:11" x14ac:dyDescent="0.25">
      <c r="A182" t="s">
        <v>38</v>
      </c>
      <c r="B182">
        <v>2001</v>
      </c>
      <c r="C182">
        <v>8</v>
      </c>
      <c r="D182">
        <v>7</v>
      </c>
      <c r="E182">
        <v>4</v>
      </c>
      <c r="F182">
        <v>-1</v>
      </c>
      <c r="G182">
        <v>2</v>
      </c>
      <c r="H182">
        <v>5</v>
      </c>
      <c r="I182">
        <v>12</v>
      </c>
      <c r="J182">
        <v>-21</v>
      </c>
      <c r="K182">
        <v>42</v>
      </c>
    </row>
    <row r="183" spans="1:11" x14ac:dyDescent="0.25">
      <c r="A183" t="s">
        <v>23</v>
      </c>
      <c r="B183">
        <v>2001</v>
      </c>
      <c r="C183">
        <v>6</v>
      </c>
      <c r="D183">
        <v>8</v>
      </c>
      <c r="E183">
        <v>5</v>
      </c>
      <c r="F183">
        <v>2</v>
      </c>
      <c r="G183">
        <v>5</v>
      </c>
      <c r="H183">
        <v>1</v>
      </c>
      <c r="I183">
        <v>13</v>
      </c>
      <c r="J183">
        <v>-16</v>
      </c>
      <c r="K183">
        <v>42</v>
      </c>
    </row>
    <row r="184" spans="1:11" x14ac:dyDescent="0.25">
      <c r="A184" t="s">
        <v>31</v>
      </c>
      <c r="B184">
        <v>2001</v>
      </c>
      <c r="C184">
        <v>4</v>
      </c>
      <c r="D184">
        <v>7</v>
      </c>
      <c r="E184">
        <v>8</v>
      </c>
      <c r="F184">
        <v>-5</v>
      </c>
      <c r="G184">
        <v>5</v>
      </c>
      <c r="H184">
        <v>8</v>
      </c>
      <c r="I184">
        <v>6</v>
      </c>
      <c r="J184">
        <v>5</v>
      </c>
      <c r="K184">
        <v>42</v>
      </c>
    </row>
    <row r="185" spans="1:11" x14ac:dyDescent="0.25">
      <c r="A185" t="s">
        <v>19</v>
      </c>
      <c r="B185">
        <v>2001</v>
      </c>
      <c r="C185">
        <v>4</v>
      </c>
      <c r="D185">
        <v>3</v>
      </c>
      <c r="E185">
        <v>12</v>
      </c>
      <c r="F185">
        <v>-11</v>
      </c>
      <c r="G185">
        <v>4</v>
      </c>
      <c r="H185">
        <v>7</v>
      </c>
      <c r="I185">
        <v>8</v>
      </c>
      <c r="J185">
        <v>-13</v>
      </c>
      <c r="K185">
        <v>34</v>
      </c>
    </row>
    <row r="186" spans="1:11" x14ac:dyDescent="0.25">
      <c r="A186" t="s">
        <v>26</v>
      </c>
      <c r="B186">
        <v>2001</v>
      </c>
      <c r="C186">
        <v>4</v>
      </c>
      <c r="D186">
        <v>7</v>
      </c>
      <c r="E186">
        <v>8</v>
      </c>
      <c r="F186">
        <v>-9</v>
      </c>
      <c r="G186">
        <v>4</v>
      </c>
      <c r="H186">
        <v>3</v>
      </c>
      <c r="I186">
        <v>12</v>
      </c>
      <c r="J186">
        <v>-18</v>
      </c>
      <c r="K186">
        <v>34</v>
      </c>
    </row>
    <row r="187" spans="1:11" x14ac:dyDescent="0.25">
      <c r="A187" t="s">
        <v>42</v>
      </c>
      <c r="B187">
        <v>2001</v>
      </c>
      <c r="C187">
        <v>4</v>
      </c>
      <c r="D187">
        <v>7</v>
      </c>
      <c r="E187">
        <v>8</v>
      </c>
      <c r="F187">
        <v>-9</v>
      </c>
      <c r="G187">
        <v>1</v>
      </c>
      <c r="H187">
        <v>4</v>
      </c>
      <c r="I187">
        <v>14</v>
      </c>
      <c r="J187">
        <v>-31</v>
      </c>
      <c r="K187">
        <v>26</v>
      </c>
    </row>
    <row r="188" spans="1:11" x14ac:dyDescent="0.25">
      <c r="A188" t="s">
        <v>20</v>
      </c>
      <c r="B188">
        <v>2002</v>
      </c>
      <c r="C188">
        <v>12</v>
      </c>
      <c r="D188">
        <v>4</v>
      </c>
      <c r="E188">
        <v>3</v>
      </c>
      <c r="F188">
        <v>17</v>
      </c>
      <c r="G188">
        <v>14</v>
      </c>
      <c r="H188">
        <v>5</v>
      </c>
      <c r="I188">
        <v>0</v>
      </c>
      <c r="J188">
        <v>26</v>
      </c>
      <c r="K188">
        <v>87</v>
      </c>
    </row>
    <row r="189" spans="1:11" x14ac:dyDescent="0.25">
      <c r="A189" t="s">
        <v>17</v>
      </c>
      <c r="B189">
        <v>2002</v>
      </c>
      <c r="C189">
        <v>12</v>
      </c>
      <c r="D189">
        <v>5</v>
      </c>
      <c r="E189">
        <v>2</v>
      </c>
      <c r="F189">
        <v>19</v>
      </c>
      <c r="G189">
        <v>12</v>
      </c>
      <c r="H189">
        <v>3</v>
      </c>
      <c r="I189">
        <v>4</v>
      </c>
      <c r="J189">
        <v>18</v>
      </c>
      <c r="K189">
        <v>80</v>
      </c>
    </row>
    <row r="190" spans="1:11" x14ac:dyDescent="0.25">
      <c r="A190" t="s">
        <v>11</v>
      </c>
      <c r="B190">
        <v>2002</v>
      </c>
      <c r="C190">
        <v>11</v>
      </c>
      <c r="D190">
        <v>2</v>
      </c>
      <c r="E190">
        <v>6</v>
      </c>
      <c r="F190">
        <v>23</v>
      </c>
      <c r="G190">
        <v>13</v>
      </c>
      <c r="H190">
        <v>3</v>
      </c>
      <c r="I190">
        <v>3</v>
      </c>
      <c r="J190">
        <v>19</v>
      </c>
      <c r="K190">
        <v>77</v>
      </c>
    </row>
    <row r="191" spans="1:11" x14ac:dyDescent="0.25">
      <c r="A191" t="s">
        <v>33</v>
      </c>
      <c r="B191">
        <v>2002</v>
      </c>
      <c r="C191">
        <v>12</v>
      </c>
      <c r="D191">
        <v>3</v>
      </c>
      <c r="E191">
        <v>4</v>
      </c>
      <c r="F191">
        <v>17</v>
      </c>
      <c r="G191">
        <v>9</v>
      </c>
      <c r="H191">
        <v>5</v>
      </c>
      <c r="I191">
        <v>5</v>
      </c>
      <c r="J191">
        <v>5</v>
      </c>
      <c r="K191">
        <v>71</v>
      </c>
    </row>
    <row r="192" spans="1:11" x14ac:dyDescent="0.25">
      <c r="A192" t="s">
        <v>27</v>
      </c>
      <c r="B192">
        <v>2002</v>
      </c>
      <c r="C192">
        <v>9</v>
      </c>
      <c r="D192">
        <v>6</v>
      </c>
      <c r="E192">
        <v>4</v>
      </c>
      <c r="F192">
        <v>10</v>
      </c>
      <c r="G192">
        <v>9</v>
      </c>
      <c r="H192">
        <v>6</v>
      </c>
      <c r="I192">
        <v>4</v>
      </c>
      <c r="J192">
        <v>6</v>
      </c>
      <c r="K192">
        <v>66</v>
      </c>
    </row>
    <row r="193" spans="1:11" x14ac:dyDescent="0.25">
      <c r="A193" t="s">
        <v>21</v>
      </c>
      <c r="B193">
        <v>2002</v>
      </c>
      <c r="C193">
        <v>11</v>
      </c>
      <c r="D193">
        <v>4</v>
      </c>
      <c r="E193">
        <v>4</v>
      </c>
      <c r="F193">
        <v>22</v>
      </c>
      <c r="G193">
        <v>6</v>
      </c>
      <c r="H193">
        <v>9</v>
      </c>
      <c r="I193">
        <v>4</v>
      </c>
      <c r="J193">
        <v>6</v>
      </c>
      <c r="K193">
        <v>64</v>
      </c>
    </row>
    <row r="194" spans="1:11" x14ac:dyDescent="0.25">
      <c r="A194" t="s">
        <v>34</v>
      </c>
      <c r="B194">
        <v>2002</v>
      </c>
      <c r="C194">
        <v>12</v>
      </c>
      <c r="D194">
        <v>4</v>
      </c>
      <c r="E194">
        <v>3</v>
      </c>
      <c r="F194">
        <v>18</v>
      </c>
      <c r="G194">
        <v>3</v>
      </c>
      <c r="H194">
        <v>4</v>
      </c>
      <c r="I194">
        <v>12</v>
      </c>
      <c r="J194">
        <v>-27</v>
      </c>
      <c r="K194">
        <v>53</v>
      </c>
    </row>
    <row r="195" spans="1:11" x14ac:dyDescent="0.25">
      <c r="A195" t="s">
        <v>16</v>
      </c>
      <c r="B195">
        <v>2002</v>
      </c>
      <c r="C195">
        <v>10</v>
      </c>
      <c r="D195">
        <v>4</v>
      </c>
      <c r="E195">
        <v>5</v>
      </c>
      <c r="F195">
        <v>8</v>
      </c>
      <c r="G195">
        <v>4</v>
      </c>
      <c r="H195">
        <v>4</v>
      </c>
      <c r="I195">
        <v>11</v>
      </c>
      <c r="J195">
        <v>-12</v>
      </c>
      <c r="K195">
        <v>50</v>
      </c>
    </row>
    <row r="196" spans="1:11" x14ac:dyDescent="0.25">
      <c r="A196" t="s">
        <v>12</v>
      </c>
      <c r="B196">
        <v>2002</v>
      </c>
      <c r="C196">
        <v>8</v>
      </c>
      <c r="D196">
        <v>7</v>
      </c>
      <c r="E196">
        <v>4</v>
      </c>
      <c r="F196">
        <v>5</v>
      </c>
      <c r="G196">
        <v>4</v>
      </c>
      <c r="H196">
        <v>7</v>
      </c>
      <c r="I196">
        <v>8</v>
      </c>
      <c r="J196">
        <v>-6</v>
      </c>
      <c r="K196">
        <v>50</v>
      </c>
    </row>
    <row r="197" spans="1:11" x14ac:dyDescent="0.25">
      <c r="A197" t="s">
        <v>14</v>
      </c>
      <c r="B197">
        <v>2002</v>
      </c>
      <c r="C197">
        <v>8</v>
      </c>
      <c r="D197">
        <v>6</v>
      </c>
      <c r="E197">
        <v>5</v>
      </c>
      <c r="F197">
        <v>13</v>
      </c>
      <c r="G197">
        <v>4</v>
      </c>
      <c r="H197">
        <v>4</v>
      </c>
      <c r="I197">
        <v>11</v>
      </c>
      <c r="J197">
        <v>-9</v>
      </c>
      <c r="K197">
        <v>46</v>
      </c>
    </row>
    <row r="198" spans="1:11" x14ac:dyDescent="0.25">
      <c r="A198" t="s">
        <v>28</v>
      </c>
      <c r="B198">
        <v>2002</v>
      </c>
      <c r="C198">
        <v>7</v>
      </c>
      <c r="D198">
        <v>5</v>
      </c>
      <c r="E198">
        <v>7</v>
      </c>
      <c r="F198">
        <v>1</v>
      </c>
      <c r="G198">
        <v>5</v>
      </c>
      <c r="H198">
        <v>4</v>
      </c>
      <c r="I198">
        <v>10</v>
      </c>
      <c r="J198">
        <v>-9</v>
      </c>
      <c r="K198">
        <v>45</v>
      </c>
    </row>
    <row r="199" spans="1:11" x14ac:dyDescent="0.25">
      <c r="A199" t="s">
        <v>31</v>
      </c>
      <c r="B199">
        <v>2002</v>
      </c>
      <c r="C199">
        <v>7</v>
      </c>
      <c r="D199">
        <v>5</v>
      </c>
      <c r="E199">
        <v>7</v>
      </c>
      <c r="F199">
        <v>-3</v>
      </c>
      <c r="G199">
        <v>5</v>
      </c>
      <c r="H199">
        <v>4</v>
      </c>
      <c r="I199">
        <v>10</v>
      </c>
      <c r="J199">
        <v>-9</v>
      </c>
      <c r="K199">
        <v>45</v>
      </c>
    </row>
    <row r="200" spans="1:11" x14ac:dyDescent="0.25">
      <c r="A200" t="s">
        <v>41</v>
      </c>
      <c r="B200">
        <v>2002</v>
      </c>
      <c r="C200">
        <v>5</v>
      </c>
      <c r="D200">
        <v>6</v>
      </c>
      <c r="E200">
        <v>8</v>
      </c>
      <c r="F200">
        <v>-7</v>
      </c>
      <c r="G200">
        <v>5</v>
      </c>
      <c r="H200">
        <v>8</v>
      </c>
      <c r="I200">
        <v>6</v>
      </c>
      <c r="J200">
        <v>-4</v>
      </c>
      <c r="K200">
        <v>44</v>
      </c>
    </row>
    <row r="201" spans="1:11" x14ac:dyDescent="0.25">
      <c r="A201" t="s">
        <v>44</v>
      </c>
      <c r="B201">
        <v>2002</v>
      </c>
      <c r="C201">
        <v>7</v>
      </c>
      <c r="D201">
        <v>7</v>
      </c>
      <c r="E201">
        <v>5</v>
      </c>
      <c r="F201">
        <v>5</v>
      </c>
      <c r="G201">
        <v>3</v>
      </c>
      <c r="H201">
        <v>7</v>
      </c>
      <c r="I201">
        <v>9</v>
      </c>
      <c r="J201">
        <v>-13</v>
      </c>
      <c r="K201">
        <v>44</v>
      </c>
    </row>
    <row r="202" spans="1:11" x14ac:dyDescent="0.25">
      <c r="A202" t="s">
        <v>23</v>
      </c>
      <c r="B202">
        <v>2002</v>
      </c>
      <c r="C202">
        <v>8</v>
      </c>
      <c r="D202">
        <v>4</v>
      </c>
      <c r="E202">
        <v>7</v>
      </c>
      <c r="F202">
        <v>3</v>
      </c>
      <c r="G202">
        <v>3</v>
      </c>
      <c r="H202">
        <v>6</v>
      </c>
      <c r="I202">
        <v>10</v>
      </c>
      <c r="J202">
        <v>-15</v>
      </c>
      <c r="K202">
        <v>43</v>
      </c>
    </row>
    <row r="203" spans="1:11" x14ac:dyDescent="0.25">
      <c r="A203" t="s">
        <v>39</v>
      </c>
      <c r="B203">
        <v>2002</v>
      </c>
      <c r="C203">
        <v>7</v>
      </c>
      <c r="D203">
        <v>7</v>
      </c>
      <c r="E203">
        <v>5</v>
      </c>
      <c r="F203">
        <v>2</v>
      </c>
      <c r="G203">
        <v>3</v>
      </c>
      <c r="H203">
        <v>3</v>
      </c>
      <c r="I203">
        <v>13</v>
      </c>
      <c r="J203">
        <v>-24</v>
      </c>
      <c r="K203">
        <v>40</v>
      </c>
    </row>
    <row r="204" spans="1:11" x14ac:dyDescent="0.25">
      <c r="A204" t="s">
        <v>37</v>
      </c>
      <c r="B204">
        <v>2002</v>
      </c>
      <c r="C204">
        <v>5</v>
      </c>
      <c r="D204">
        <v>7</v>
      </c>
      <c r="E204">
        <v>7</v>
      </c>
      <c r="F204">
        <v>-11</v>
      </c>
      <c r="G204">
        <v>4</v>
      </c>
      <c r="H204">
        <v>6</v>
      </c>
      <c r="I204">
        <v>9</v>
      </c>
      <c r="J204">
        <v>-7</v>
      </c>
      <c r="K204">
        <v>40</v>
      </c>
    </row>
    <row r="205" spans="1:11" x14ac:dyDescent="0.25">
      <c r="A205" t="s">
        <v>24</v>
      </c>
      <c r="B205">
        <v>2002</v>
      </c>
      <c r="C205">
        <v>6</v>
      </c>
      <c r="D205">
        <v>4</v>
      </c>
      <c r="E205">
        <v>9</v>
      </c>
      <c r="F205">
        <v>-4</v>
      </c>
      <c r="G205">
        <v>3</v>
      </c>
      <c r="H205">
        <v>5</v>
      </c>
      <c r="I205">
        <v>11</v>
      </c>
      <c r="J205">
        <v>-19</v>
      </c>
      <c r="K205">
        <v>36</v>
      </c>
    </row>
    <row r="206" spans="1:11" x14ac:dyDescent="0.25">
      <c r="A206" t="s">
        <v>38</v>
      </c>
      <c r="B206">
        <v>2002</v>
      </c>
      <c r="C206">
        <v>5</v>
      </c>
      <c r="D206">
        <v>4</v>
      </c>
      <c r="E206">
        <v>10</v>
      </c>
      <c r="F206">
        <v>-6</v>
      </c>
      <c r="G206">
        <v>3</v>
      </c>
      <c r="H206">
        <v>2</v>
      </c>
      <c r="I206">
        <v>14</v>
      </c>
      <c r="J206">
        <v>-24</v>
      </c>
      <c r="K206">
        <v>30</v>
      </c>
    </row>
    <row r="207" spans="1:11" x14ac:dyDescent="0.25">
      <c r="A207" t="s">
        <v>36</v>
      </c>
      <c r="B207">
        <v>2002</v>
      </c>
      <c r="C207">
        <v>3</v>
      </c>
      <c r="D207">
        <v>7</v>
      </c>
      <c r="E207">
        <v>9</v>
      </c>
      <c r="F207">
        <v>-19</v>
      </c>
      <c r="G207">
        <v>2</v>
      </c>
      <c r="H207">
        <v>6</v>
      </c>
      <c r="I207">
        <v>11</v>
      </c>
      <c r="J207">
        <v>-15</v>
      </c>
      <c r="K207">
        <v>28</v>
      </c>
    </row>
    <row r="208" spans="1:11" x14ac:dyDescent="0.25">
      <c r="A208" t="s">
        <v>11</v>
      </c>
      <c r="B208">
        <v>2003</v>
      </c>
      <c r="C208">
        <v>16</v>
      </c>
      <c r="D208">
        <v>2</v>
      </c>
      <c r="E208">
        <v>1</v>
      </c>
      <c r="F208">
        <v>30</v>
      </c>
      <c r="G208">
        <v>9</v>
      </c>
      <c r="H208">
        <v>6</v>
      </c>
      <c r="I208">
        <v>4</v>
      </c>
      <c r="J208">
        <v>10</v>
      </c>
      <c r="K208">
        <v>83</v>
      </c>
    </row>
    <row r="209" spans="1:11" x14ac:dyDescent="0.25">
      <c r="A209" t="s">
        <v>20</v>
      </c>
      <c r="B209">
        <v>2003</v>
      </c>
      <c r="C209">
        <v>15</v>
      </c>
      <c r="D209">
        <v>2</v>
      </c>
      <c r="E209">
        <v>2</v>
      </c>
      <c r="F209">
        <v>27</v>
      </c>
      <c r="G209">
        <v>8</v>
      </c>
      <c r="H209">
        <v>7</v>
      </c>
      <c r="I209">
        <v>4</v>
      </c>
      <c r="J209">
        <v>16</v>
      </c>
      <c r="K209">
        <v>78</v>
      </c>
    </row>
    <row r="210" spans="1:11" x14ac:dyDescent="0.25">
      <c r="A210" t="s">
        <v>33</v>
      </c>
      <c r="B210">
        <v>2003</v>
      </c>
      <c r="C210">
        <v>15</v>
      </c>
      <c r="D210">
        <v>2</v>
      </c>
      <c r="E210">
        <v>2</v>
      </c>
      <c r="F210">
        <v>19</v>
      </c>
      <c r="G210">
        <v>6</v>
      </c>
      <c r="H210">
        <v>4</v>
      </c>
      <c r="I210">
        <v>9</v>
      </c>
      <c r="J210">
        <v>-4</v>
      </c>
      <c r="K210">
        <v>69</v>
      </c>
    </row>
    <row r="211" spans="1:11" x14ac:dyDescent="0.25">
      <c r="A211" t="s">
        <v>21</v>
      </c>
      <c r="B211">
        <v>2003</v>
      </c>
      <c r="C211">
        <v>12</v>
      </c>
      <c r="D211">
        <v>5</v>
      </c>
      <c r="E211">
        <v>2</v>
      </c>
      <c r="F211">
        <v>26</v>
      </c>
      <c r="G211">
        <v>7</v>
      </c>
      <c r="H211">
        <v>5</v>
      </c>
      <c r="I211">
        <v>7</v>
      </c>
      <c r="J211">
        <v>4</v>
      </c>
      <c r="K211">
        <v>67</v>
      </c>
    </row>
    <row r="212" spans="1:11" x14ac:dyDescent="0.25">
      <c r="A212" t="s">
        <v>17</v>
      </c>
      <c r="B212">
        <v>2003</v>
      </c>
      <c r="C212">
        <v>9</v>
      </c>
      <c r="D212">
        <v>8</v>
      </c>
      <c r="E212">
        <v>2</v>
      </c>
      <c r="F212">
        <v>14</v>
      </c>
      <c r="G212">
        <v>9</v>
      </c>
      <c r="H212">
        <v>2</v>
      </c>
      <c r="I212">
        <v>8</v>
      </c>
      <c r="J212">
        <v>6</v>
      </c>
      <c r="K212">
        <v>64</v>
      </c>
    </row>
    <row r="213" spans="1:11" x14ac:dyDescent="0.25">
      <c r="A213" t="s">
        <v>14</v>
      </c>
      <c r="B213">
        <v>2003</v>
      </c>
      <c r="C213">
        <v>9</v>
      </c>
      <c r="D213">
        <v>7</v>
      </c>
      <c r="E213">
        <v>3</v>
      </c>
      <c r="F213">
        <v>9</v>
      </c>
      <c r="G213">
        <v>7</v>
      </c>
      <c r="H213">
        <v>5</v>
      </c>
      <c r="I213">
        <v>7</v>
      </c>
      <c r="J213">
        <v>0</v>
      </c>
      <c r="K213">
        <v>60</v>
      </c>
    </row>
    <row r="214" spans="1:11" x14ac:dyDescent="0.25">
      <c r="A214" t="s">
        <v>23</v>
      </c>
      <c r="B214">
        <v>2003</v>
      </c>
      <c r="C214">
        <v>11</v>
      </c>
      <c r="D214">
        <v>5</v>
      </c>
      <c r="E214">
        <v>3</v>
      </c>
      <c r="F214">
        <v>9</v>
      </c>
      <c r="G214">
        <v>6</v>
      </c>
      <c r="H214">
        <v>3</v>
      </c>
      <c r="I214">
        <v>10</v>
      </c>
      <c r="J214">
        <v>-10</v>
      </c>
      <c r="K214">
        <v>59</v>
      </c>
    </row>
    <row r="215" spans="1:11" x14ac:dyDescent="0.25">
      <c r="A215" t="s">
        <v>28</v>
      </c>
      <c r="B215">
        <v>2003</v>
      </c>
      <c r="C215">
        <v>9</v>
      </c>
      <c r="D215">
        <v>8</v>
      </c>
      <c r="E215">
        <v>2</v>
      </c>
      <c r="F215">
        <v>9</v>
      </c>
      <c r="G215">
        <v>4</v>
      </c>
      <c r="H215">
        <v>5</v>
      </c>
      <c r="I215">
        <v>10</v>
      </c>
      <c r="J215">
        <v>-12</v>
      </c>
      <c r="K215">
        <v>52</v>
      </c>
    </row>
    <row r="216" spans="1:11" x14ac:dyDescent="0.25">
      <c r="A216" t="s">
        <v>19</v>
      </c>
      <c r="B216">
        <v>2003</v>
      </c>
      <c r="C216">
        <v>9</v>
      </c>
      <c r="D216">
        <v>2</v>
      </c>
      <c r="E216">
        <v>8</v>
      </c>
      <c r="F216">
        <v>2</v>
      </c>
      <c r="G216">
        <v>6</v>
      </c>
      <c r="H216">
        <v>4</v>
      </c>
      <c r="I216">
        <v>9</v>
      </c>
      <c r="J216">
        <v>-9</v>
      </c>
      <c r="K216">
        <v>51</v>
      </c>
    </row>
    <row r="217" spans="1:11" x14ac:dyDescent="0.25">
      <c r="A217" t="s">
        <v>16</v>
      </c>
      <c r="B217">
        <v>2003</v>
      </c>
      <c r="C217">
        <v>9</v>
      </c>
      <c r="D217">
        <v>4</v>
      </c>
      <c r="E217">
        <v>6</v>
      </c>
      <c r="F217">
        <v>1</v>
      </c>
      <c r="G217">
        <v>5</v>
      </c>
      <c r="H217">
        <v>4</v>
      </c>
      <c r="I217">
        <v>10</v>
      </c>
      <c r="J217">
        <v>-12</v>
      </c>
      <c r="K217">
        <v>50</v>
      </c>
    </row>
    <row r="218" spans="1:11" x14ac:dyDescent="0.25">
      <c r="A218" t="s">
        <v>41</v>
      </c>
      <c r="B218">
        <v>2003</v>
      </c>
      <c r="C218">
        <v>8</v>
      </c>
      <c r="D218">
        <v>3</v>
      </c>
      <c r="E218">
        <v>8</v>
      </c>
      <c r="F218">
        <v>-4</v>
      </c>
      <c r="G218">
        <v>6</v>
      </c>
      <c r="H218">
        <v>4</v>
      </c>
      <c r="I218">
        <v>9</v>
      </c>
      <c r="J218">
        <v>-7</v>
      </c>
      <c r="K218">
        <v>49</v>
      </c>
    </row>
    <row r="219" spans="1:11" x14ac:dyDescent="0.25">
      <c r="A219" t="s">
        <v>31</v>
      </c>
      <c r="B219">
        <v>2003</v>
      </c>
      <c r="C219">
        <v>10</v>
      </c>
      <c r="D219">
        <v>7</v>
      </c>
      <c r="E219">
        <v>2</v>
      </c>
      <c r="F219">
        <v>15</v>
      </c>
      <c r="G219">
        <v>3</v>
      </c>
      <c r="H219">
        <v>3</v>
      </c>
      <c r="I219">
        <v>13</v>
      </c>
      <c r="J219">
        <v>-11</v>
      </c>
      <c r="K219">
        <v>49</v>
      </c>
    </row>
    <row r="220" spans="1:11" x14ac:dyDescent="0.25">
      <c r="A220" t="s">
        <v>45</v>
      </c>
      <c r="B220">
        <v>2003</v>
      </c>
      <c r="C220">
        <v>8</v>
      </c>
      <c r="D220">
        <v>5</v>
      </c>
      <c r="E220">
        <v>6</v>
      </c>
      <c r="F220">
        <v>2</v>
      </c>
      <c r="G220">
        <v>5</v>
      </c>
      <c r="H220">
        <v>4</v>
      </c>
      <c r="I220">
        <v>10</v>
      </c>
      <c r="J220">
        <v>-10</v>
      </c>
      <c r="K220">
        <v>48</v>
      </c>
    </row>
    <row r="221" spans="1:11" x14ac:dyDescent="0.25">
      <c r="A221" t="s">
        <v>44</v>
      </c>
      <c r="B221">
        <v>2003</v>
      </c>
      <c r="C221">
        <v>11</v>
      </c>
      <c r="D221">
        <v>3</v>
      </c>
      <c r="E221">
        <v>5</v>
      </c>
      <c r="F221">
        <v>8</v>
      </c>
      <c r="G221">
        <v>2</v>
      </c>
      <c r="H221">
        <v>6</v>
      </c>
      <c r="I221">
        <v>11</v>
      </c>
      <c r="J221">
        <v>-17</v>
      </c>
      <c r="K221">
        <v>48</v>
      </c>
    </row>
    <row r="222" spans="1:11" x14ac:dyDescent="0.25">
      <c r="A222" t="s">
        <v>27</v>
      </c>
      <c r="B222">
        <v>2003</v>
      </c>
      <c r="C222">
        <v>7</v>
      </c>
      <c r="D222">
        <v>3</v>
      </c>
      <c r="E222">
        <v>9</v>
      </c>
      <c r="F222">
        <v>-1</v>
      </c>
      <c r="G222">
        <v>7</v>
      </c>
      <c r="H222">
        <v>2</v>
      </c>
      <c r="I222">
        <v>10</v>
      </c>
      <c r="J222">
        <v>2</v>
      </c>
      <c r="K222">
        <v>47</v>
      </c>
    </row>
    <row r="223" spans="1:11" x14ac:dyDescent="0.25">
      <c r="A223" t="s">
        <v>12</v>
      </c>
      <c r="B223">
        <v>2003</v>
      </c>
      <c r="C223">
        <v>11</v>
      </c>
      <c r="D223">
        <v>2</v>
      </c>
      <c r="E223">
        <v>6</v>
      </c>
      <c r="F223">
        <v>11</v>
      </c>
      <c r="G223">
        <v>1</v>
      </c>
      <c r="H223">
        <v>7</v>
      </c>
      <c r="I223">
        <v>11</v>
      </c>
      <c r="J223">
        <v>-16</v>
      </c>
      <c r="K223">
        <v>45</v>
      </c>
    </row>
    <row r="224" spans="1:11" x14ac:dyDescent="0.25">
      <c r="A224" t="s">
        <v>37</v>
      </c>
      <c r="B224">
        <v>2003</v>
      </c>
      <c r="C224">
        <v>7</v>
      </c>
      <c r="D224">
        <v>8</v>
      </c>
      <c r="E224">
        <v>4</v>
      </c>
      <c r="F224">
        <v>3</v>
      </c>
      <c r="G224">
        <v>3</v>
      </c>
      <c r="H224">
        <v>6</v>
      </c>
      <c r="I224">
        <v>10</v>
      </c>
      <c r="J224">
        <v>-13</v>
      </c>
      <c r="K224">
        <v>44</v>
      </c>
    </row>
    <row r="225" spans="1:11" x14ac:dyDescent="0.25">
      <c r="A225" t="s">
        <v>34</v>
      </c>
      <c r="B225">
        <v>2003</v>
      </c>
      <c r="C225">
        <v>5</v>
      </c>
      <c r="D225">
        <v>7</v>
      </c>
      <c r="E225">
        <v>7</v>
      </c>
      <c r="F225">
        <v>-3</v>
      </c>
      <c r="G225">
        <v>5</v>
      </c>
      <c r="H225">
        <v>5</v>
      </c>
      <c r="I225">
        <v>9</v>
      </c>
      <c r="J225">
        <v>-14</v>
      </c>
      <c r="K225">
        <v>42</v>
      </c>
    </row>
    <row r="226" spans="1:11" x14ac:dyDescent="0.25">
      <c r="A226" t="s">
        <v>46</v>
      </c>
      <c r="B226">
        <v>2003</v>
      </c>
      <c r="C226">
        <v>3</v>
      </c>
      <c r="D226">
        <v>5</v>
      </c>
      <c r="E226">
        <v>11</v>
      </c>
      <c r="F226">
        <v>-17</v>
      </c>
      <c r="G226">
        <v>3</v>
      </c>
      <c r="H226">
        <v>3</v>
      </c>
      <c r="I226">
        <v>13</v>
      </c>
      <c r="J226">
        <v>-19</v>
      </c>
      <c r="K226">
        <v>26</v>
      </c>
    </row>
    <row r="227" spans="1:11" x14ac:dyDescent="0.25">
      <c r="A227" t="s">
        <v>39</v>
      </c>
      <c r="B227">
        <v>2003</v>
      </c>
      <c r="C227">
        <v>3</v>
      </c>
      <c r="D227">
        <v>2</v>
      </c>
      <c r="E227">
        <v>14</v>
      </c>
      <c r="F227">
        <v>-20</v>
      </c>
      <c r="G227">
        <v>1</v>
      </c>
      <c r="H227">
        <v>5</v>
      </c>
      <c r="I227">
        <v>13</v>
      </c>
      <c r="J227">
        <v>-24</v>
      </c>
      <c r="K227">
        <v>19</v>
      </c>
    </row>
    <row r="228" spans="1:11" x14ac:dyDescent="0.25">
      <c r="A228" t="s">
        <v>20</v>
      </c>
      <c r="B228">
        <v>2004</v>
      </c>
      <c r="C228">
        <v>15</v>
      </c>
      <c r="D228">
        <v>4</v>
      </c>
      <c r="E228">
        <v>0</v>
      </c>
      <c r="F228">
        <v>26</v>
      </c>
      <c r="G228">
        <v>11</v>
      </c>
      <c r="H228">
        <v>8</v>
      </c>
      <c r="I228">
        <v>0</v>
      </c>
      <c r="J228">
        <v>21</v>
      </c>
      <c r="K228">
        <v>90</v>
      </c>
    </row>
    <row r="229" spans="1:11" x14ac:dyDescent="0.25">
      <c r="A229" t="s">
        <v>21</v>
      </c>
      <c r="B229">
        <v>2004</v>
      </c>
      <c r="C229">
        <v>12</v>
      </c>
      <c r="D229">
        <v>4</v>
      </c>
      <c r="E229">
        <v>3</v>
      </c>
      <c r="F229">
        <v>21</v>
      </c>
      <c r="G229">
        <v>12</v>
      </c>
      <c r="H229">
        <v>3</v>
      </c>
      <c r="I229">
        <v>4</v>
      </c>
      <c r="J229">
        <v>16</v>
      </c>
      <c r="K229">
        <v>79</v>
      </c>
    </row>
    <row r="230" spans="1:11" x14ac:dyDescent="0.25">
      <c r="A230" t="s">
        <v>11</v>
      </c>
      <c r="B230">
        <v>2004</v>
      </c>
      <c r="C230">
        <v>12</v>
      </c>
      <c r="D230">
        <v>4</v>
      </c>
      <c r="E230">
        <v>3</v>
      </c>
      <c r="F230">
        <v>22</v>
      </c>
      <c r="G230">
        <v>11</v>
      </c>
      <c r="H230">
        <v>2</v>
      </c>
      <c r="I230">
        <v>6</v>
      </c>
      <c r="J230">
        <v>7</v>
      </c>
      <c r="K230">
        <v>75</v>
      </c>
    </row>
    <row r="231" spans="1:11" x14ac:dyDescent="0.25">
      <c r="A231" t="s">
        <v>17</v>
      </c>
      <c r="B231">
        <v>2004</v>
      </c>
      <c r="C231">
        <v>10</v>
      </c>
      <c r="D231">
        <v>4</v>
      </c>
      <c r="E231">
        <v>5</v>
      </c>
      <c r="F231">
        <v>14</v>
      </c>
      <c r="G231">
        <v>6</v>
      </c>
      <c r="H231">
        <v>8</v>
      </c>
      <c r="I231">
        <v>5</v>
      </c>
      <c r="J231">
        <v>4</v>
      </c>
      <c r="K231">
        <v>60</v>
      </c>
    </row>
    <row r="232" spans="1:11" x14ac:dyDescent="0.25">
      <c r="A232" t="s">
        <v>12</v>
      </c>
      <c r="B232">
        <v>2004</v>
      </c>
      <c r="C232">
        <v>9</v>
      </c>
      <c r="D232">
        <v>6</v>
      </c>
      <c r="E232">
        <v>4</v>
      </c>
      <c r="F232">
        <v>5</v>
      </c>
      <c r="G232">
        <v>6</v>
      </c>
      <c r="H232">
        <v>5</v>
      </c>
      <c r="I232">
        <v>8</v>
      </c>
      <c r="J232">
        <v>-1</v>
      </c>
      <c r="K232">
        <v>56</v>
      </c>
    </row>
    <row r="233" spans="1:11" x14ac:dyDescent="0.25">
      <c r="A233" t="s">
        <v>33</v>
      </c>
      <c r="B233">
        <v>2004</v>
      </c>
      <c r="C233">
        <v>11</v>
      </c>
      <c r="D233">
        <v>5</v>
      </c>
      <c r="E233">
        <v>3</v>
      </c>
      <c r="F233">
        <v>19</v>
      </c>
      <c r="G233">
        <v>2</v>
      </c>
      <c r="H233">
        <v>12</v>
      </c>
      <c r="I233">
        <v>5</v>
      </c>
      <c r="J233">
        <v>-7</v>
      </c>
      <c r="K233">
        <v>56</v>
      </c>
    </row>
    <row r="234" spans="1:11" x14ac:dyDescent="0.25">
      <c r="A234" t="s">
        <v>41</v>
      </c>
      <c r="B234">
        <v>2004</v>
      </c>
      <c r="C234">
        <v>7</v>
      </c>
      <c r="D234">
        <v>6</v>
      </c>
      <c r="E234">
        <v>6</v>
      </c>
      <c r="F234">
        <v>0</v>
      </c>
      <c r="G234">
        <v>7</v>
      </c>
      <c r="H234">
        <v>5</v>
      </c>
      <c r="I234">
        <v>7</v>
      </c>
      <c r="J234">
        <v>0</v>
      </c>
      <c r="K234">
        <v>53</v>
      </c>
    </row>
    <row r="235" spans="1:11" x14ac:dyDescent="0.25">
      <c r="A235" t="s">
        <v>37</v>
      </c>
      <c r="B235">
        <v>2004</v>
      </c>
      <c r="C235">
        <v>6</v>
      </c>
      <c r="D235">
        <v>8</v>
      </c>
      <c r="E235">
        <v>5</v>
      </c>
      <c r="F235">
        <v>3</v>
      </c>
      <c r="G235">
        <v>8</v>
      </c>
      <c r="H235">
        <v>3</v>
      </c>
      <c r="I235">
        <v>8</v>
      </c>
      <c r="J235">
        <v>-11</v>
      </c>
      <c r="K235">
        <v>53</v>
      </c>
    </row>
    <row r="236" spans="1:11" x14ac:dyDescent="0.25">
      <c r="A236" t="s">
        <v>44</v>
      </c>
      <c r="B236">
        <v>2004</v>
      </c>
      <c r="C236">
        <v>9</v>
      </c>
      <c r="D236">
        <v>4</v>
      </c>
      <c r="E236">
        <v>6</v>
      </c>
      <c r="F236">
        <v>8</v>
      </c>
      <c r="G236">
        <v>5</v>
      </c>
      <c r="H236">
        <v>6</v>
      </c>
      <c r="I236">
        <v>8</v>
      </c>
      <c r="J236">
        <v>-2</v>
      </c>
      <c r="K236">
        <v>52</v>
      </c>
    </row>
    <row r="237" spans="1:11" x14ac:dyDescent="0.25">
      <c r="A237" t="s">
        <v>45</v>
      </c>
      <c r="B237">
        <v>2004</v>
      </c>
      <c r="C237">
        <v>8</v>
      </c>
      <c r="D237">
        <v>5</v>
      </c>
      <c r="E237">
        <v>6</v>
      </c>
      <c r="F237">
        <v>2</v>
      </c>
      <c r="G237">
        <v>4</v>
      </c>
      <c r="H237">
        <v>9</v>
      </c>
      <c r="I237">
        <v>6</v>
      </c>
      <c r="J237">
        <v>-7</v>
      </c>
      <c r="K237">
        <v>50</v>
      </c>
    </row>
    <row r="238" spans="1:11" x14ac:dyDescent="0.25">
      <c r="A238" t="s">
        <v>31</v>
      </c>
      <c r="B238">
        <v>2004</v>
      </c>
      <c r="C238">
        <v>8</v>
      </c>
      <c r="D238">
        <v>4</v>
      </c>
      <c r="E238">
        <v>7</v>
      </c>
      <c r="F238">
        <v>2</v>
      </c>
      <c r="G238">
        <v>5</v>
      </c>
      <c r="H238">
        <v>5</v>
      </c>
      <c r="I238">
        <v>9</v>
      </c>
      <c r="J238">
        <v>-10</v>
      </c>
      <c r="K238">
        <v>48</v>
      </c>
    </row>
    <row r="239" spans="1:11" x14ac:dyDescent="0.25">
      <c r="A239" t="s">
        <v>28</v>
      </c>
      <c r="B239">
        <v>2004</v>
      </c>
      <c r="C239">
        <v>8</v>
      </c>
      <c r="D239">
        <v>6</v>
      </c>
      <c r="E239">
        <v>5</v>
      </c>
      <c r="F239">
        <v>7</v>
      </c>
      <c r="G239">
        <v>4</v>
      </c>
      <c r="H239">
        <v>5</v>
      </c>
      <c r="I239">
        <v>10</v>
      </c>
      <c r="J239">
        <v>-8</v>
      </c>
      <c r="K239">
        <v>47</v>
      </c>
    </row>
    <row r="240" spans="1:11" x14ac:dyDescent="0.25">
      <c r="A240" t="s">
        <v>16</v>
      </c>
      <c r="B240">
        <v>2004</v>
      </c>
      <c r="C240">
        <v>9</v>
      </c>
      <c r="D240">
        <v>4</v>
      </c>
      <c r="E240">
        <v>6</v>
      </c>
      <c r="F240">
        <v>6</v>
      </c>
      <c r="G240">
        <v>4</v>
      </c>
      <c r="H240">
        <v>2</v>
      </c>
      <c r="I240">
        <v>13</v>
      </c>
      <c r="J240">
        <v>-16</v>
      </c>
      <c r="K240">
        <v>45</v>
      </c>
    </row>
    <row r="241" spans="1:11" x14ac:dyDescent="0.25">
      <c r="A241" t="s">
        <v>47</v>
      </c>
      <c r="B241">
        <v>2004</v>
      </c>
      <c r="C241">
        <v>10</v>
      </c>
      <c r="D241">
        <v>4</v>
      </c>
      <c r="E241">
        <v>5</v>
      </c>
      <c r="F241">
        <v>16</v>
      </c>
      <c r="G241">
        <v>2</v>
      </c>
      <c r="H241">
        <v>5</v>
      </c>
      <c r="I241">
        <v>12</v>
      </c>
      <c r="J241">
        <v>-23</v>
      </c>
      <c r="K241">
        <v>45</v>
      </c>
    </row>
    <row r="242" spans="1:11" x14ac:dyDescent="0.25">
      <c r="A242" t="s">
        <v>14</v>
      </c>
      <c r="B242">
        <v>2004</v>
      </c>
      <c r="C242">
        <v>5</v>
      </c>
      <c r="D242">
        <v>4</v>
      </c>
      <c r="E242">
        <v>10</v>
      </c>
      <c r="F242">
        <v>-6</v>
      </c>
      <c r="G242">
        <v>7</v>
      </c>
      <c r="H242">
        <v>4</v>
      </c>
      <c r="I242">
        <v>8</v>
      </c>
      <c r="J242">
        <v>-2</v>
      </c>
      <c r="K242">
        <v>44</v>
      </c>
    </row>
    <row r="243" spans="1:11" x14ac:dyDescent="0.25">
      <c r="A243" t="s">
        <v>19</v>
      </c>
      <c r="B243">
        <v>2004</v>
      </c>
      <c r="C243">
        <v>5</v>
      </c>
      <c r="D243">
        <v>9</v>
      </c>
      <c r="E243">
        <v>5</v>
      </c>
      <c r="F243">
        <v>7</v>
      </c>
      <c r="G243">
        <v>4</v>
      </c>
      <c r="H243">
        <v>5</v>
      </c>
      <c r="I243">
        <v>10</v>
      </c>
      <c r="J243">
        <v>-6</v>
      </c>
      <c r="K243">
        <v>41</v>
      </c>
    </row>
    <row r="244" spans="1:11" x14ac:dyDescent="0.25">
      <c r="A244" t="s">
        <v>23</v>
      </c>
      <c r="B244">
        <v>2004</v>
      </c>
      <c r="C244">
        <v>8</v>
      </c>
      <c r="D244">
        <v>5</v>
      </c>
      <c r="E244">
        <v>6</v>
      </c>
      <c r="F244">
        <v>7</v>
      </c>
      <c r="G244">
        <v>1</v>
      </c>
      <c r="H244">
        <v>7</v>
      </c>
      <c r="I244">
        <v>11</v>
      </c>
      <c r="J244">
        <v>-19</v>
      </c>
      <c r="K244">
        <v>39</v>
      </c>
    </row>
    <row r="245" spans="1:11" x14ac:dyDescent="0.25">
      <c r="A245" t="s">
        <v>48</v>
      </c>
      <c r="B245">
        <v>2004</v>
      </c>
      <c r="C245">
        <v>7</v>
      </c>
      <c r="D245">
        <v>5</v>
      </c>
      <c r="E245">
        <v>7</v>
      </c>
      <c r="F245">
        <v>-12</v>
      </c>
      <c r="G245">
        <v>0</v>
      </c>
      <c r="H245">
        <v>7</v>
      </c>
      <c r="I245">
        <v>12</v>
      </c>
      <c r="J245">
        <v>-27</v>
      </c>
      <c r="K245">
        <v>33</v>
      </c>
    </row>
    <row r="246" spans="1:11" x14ac:dyDescent="0.25">
      <c r="A246" t="s">
        <v>36</v>
      </c>
      <c r="B246">
        <v>2004</v>
      </c>
      <c r="C246">
        <v>3</v>
      </c>
      <c r="D246">
        <v>10</v>
      </c>
      <c r="E246">
        <v>6</v>
      </c>
      <c r="F246">
        <v>-9</v>
      </c>
      <c r="G246">
        <v>3</v>
      </c>
      <c r="H246">
        <v>5</v>
      </c>
      <c r="I246">
        <v>11</v>
      </c>
      <c r="J246">
        <v>-8</v>
      </c>
      <c r="K246">
        <v>33</v>
      </c>
    </row>
    <row r="247" spans="1:11" x14ac:dyDescent="0.25">
      <c r="A247" t="s">
        <v>27</v>
      </c>
      <c r="B247">
        <v>2004</v>
      </c>
      <c r="C247">
        <v>5</v>
      </c>
      <c r="D247">
        <v>7</v>
      </c>
      <c r="E247">
        <v>7</v>
      </c>
      <c r="F247">
        <v>-6</v>
      </c>
      <c r="G247">
        <v>3</v>
      </c>
      <c r="H247">
        <v>2</v>
      </c>
      <c r="I247">
        <v>14</v>
      </c>
      <c r="J247">
        <v>-33</v>
      </c>
      <c r="K247">
        <v>33</v>
      </c>
    </row>
    <row r="248" spans="1:11" x14ac:dyDescent="0.25">
      <c r="A248" t="s">
        <v>21</v>
      </c>
      <c r="B248">
        <v>2005</v>
      </c>
      <c r="C248">
        <v>14</v>
      </c>
      <c r="D248">
        <v>5</v>
      </c>
      <c r="E248">
        <v>0</v>
      </c>
      <c r="F248">
        <v>29</v>
      </c>
      <c r="G248">
        <v>15</v>
      </c>
      <c r="H248">
        <v>3</v>
      </c>
      <c r="I248">
        <v>1</v>
      </c>
      <c r="J248">
        <v>28</v>
      </c>
      <c r="K248">
        <v>95</v>
      </c>
    </row>
    <row r="249" spans="1:11" x14ac:dyDescent="0.25">
      <c r="A249" t="s">
        <v>20</v>
      </c>
      <c r="B249">
        <v>2005</v>
      </c>
      <c r="C249">
        <v>13</v>
      </c>
      <c r="D249">
        <v>5</v>
      </c>
      <c r="E249">
        <v>1</v>
      </c>
      <c r="F249">
        <v>35</v>
      </c>
      <c r="G249">
        <v>12</v>
      </c>
      <c r="H249">
        <v>3</v>
      </c>
      <c r="I249">
        <v>4</v>
      </c>
      <c r="J249">
        <v>16</v>
      </c>
      <c r="K249">
        <v>83</v>
      </c>
    </row>
    <row r="250" spans="1:11" x14ac:dyDescent="0.25">
      <c r="A250" t="s">
        <v>11</v>
      </c>
      <c r="B250">
        <v>2005</v>
      </c>
      <c r="C250">
        <v>12</v>
      </c>
      <c r="D250">
        <v>6</v>
      </c>
      <c r="E250">
        <v>1</v>
      </c>
      <c r="F250">
        <v>19</v>
      </c>
      <c r="G250">
        <v>10</v>
      </c>
      <c r="H250">
        <v>5</v>
      </c>
      <c r="I250">
        <v>4</v>
      </c>
      <c r="J250">
        <v>13</v>
      </c>
      <c r="K250">
        <v>77</v>
      </c>
    </row>
    <row r="251" spans="1:11" x14ac:dyDescent="0.25">
      <c r="A251" t="s">
        <v>23</v>
      </c>
      <c r="B251">
        <v>2005</v>
      </c>
      <c r="C251">
        <v>12</v>
      </c>
      <c r="D251">
        <v>2</v>
      </c>
      <c r="E251">
        <v>5</v>
      </c>
      <c r="F251">
        <v>9</v>
      </c>
      <c r="G251">
        <v>6</v>
      </c>
      <c r="H251">
        <v>5</v>
      </c>
      <c r="I251">
        <v>8</v>
      </c>
      <c r="J251">
        <v>-10</v>
      </c>
      <c r="K251">
        <v>61</v>
      </c>
    </row>
    <row r="252" spans="1:11" x14ac:dyDescent="0.25">
      <c r="A252" t="s">
        <v>17</v>
      </c>
      <c r="B252">
        <v>2005</v>
      </c>
      <c r="C252">
        <v>12</v>
      </c>
      <c r="D252">
        <v>4</v>
      </c>
      <c r="E252">
        <v>3</v>
      </c>
      <c r="F252">
        <v>16</v>
      </c>
      <c r="G252">
        <v>5</v>
      </c>
      <c r="H252">
        <v>3</v>
      </c>
      <c r="I252">
        <v>11</v>
      </c>
      <c r="J252">
        <v>-5</v>
      </c>
      <c r="K252">
        <v>58</v>
      </c>
    </row>
    <row r="253" spans="1:11" x14ac:dyDescent="0.25">
      <c r="A253" t="s">
        <v>37</v>
      </c>
      <c r="B253">
        <v>2005</v>
      </c>
      <c r="C253">
        <v>9</v>
      </c>
      <c r="D253">
        <v>5</v>
      </c>
      <c r="E253">
        <v>5</v>
      </c>
      <c r="F253">
        <v>7</v>
      </c>
      <c r="G253">
        <v>7</v>
      </c>
      <c r="H253">
        <v>5</v>
      </c>
      <c r="I253">
        <v>7</v>
      </c>
      <c r="J253">
        <v>-2</v>
      </c>
      <c r="K253">
        <v>58</v>
      </c>
    </row>
    <row r="254" spans="1:11" x14ac:dyDescent="0.25">
      <c r="A254" t="s">
        <v>31</v>
      </c>
      <c r="B254">
        <v>2005</v>
      </c>
      <c r="C254">
        <v>9</v>
      </c>
      <c r="D254">
        <v>6</v>
      </c>
      <c r="E254">
        <v>4</v>
      </c>
      <c r="F254">
        <v>10</v>
      </c>
      <c r="G254">
        <v>5</v>
      </c>
      <c r="H254">
        <v>7</v>
      </c>
      <c r="I254">
        <v>7</v>
      </c>
      <c r="J254">
        <v>-3</v>
      </c>
      <c r="K254">
        <v>55</v>
      </c>
    </row>
    <row r="255" spans="1:11" x14ac:dyDescent="0.25">
      <c r="A255" t="s">
        <v>19</v>
      </c>
      <c r="B255">
        <v>2005</v>
      </c>
      <c r="C255">
        <v>8</v>
      </c>
      <c r="D255">
        <v>6</v>
      </c>
      <c r="E255">
        <v>5</v>
      </c>
      <c r="F255">
        <v>10</v>
      </c>
      <c r="G255">
        <v>5</v>
      </c>
      <c r="H255">
        <v>7</v>
      </c>
      <c r="I255">
        <v>7</v>
      </c>
      <c r="J255">
        <v>-2</v>
      </c>
      <c r="K255">
        <v>52</v>
      </c>
    </row>
    <row r="256" spans="1:11" x14ac:dyDescent="0.25">
      <c r="A256" t="s">
        <v>16</v>
      </c>
      <c r="B256">
        <v>2005</v>
      </c>
      <c r="C256">
        <v>9</v>
      </c>
      <c r="D256">
        <v>5</v>
      </c>
      <c r="E256">
        <v>5</v>
      </c>
      <c r="F256">
        <v>14</v>
      </c>
      <c r="G256">
        <v>5</v>
      </c>
      <c r="H256">
        <v>5</v>
      </c>
      <c r="I256">
        <v>9</v>
      </c>
      <c r="J256">
        <v>-8</v>
      </c>
      <c r="K256">
        <v>52</v>
      </c>
    </row>
    <row r="257" spans="1:11" x14ac:dyDescent="0.25">
      <c r="A257" t="s">
        <v>12</v>
      </c>
      <c r="B257">
        <v>2005</v>
      </c>
      <c r="C257">
        <v>8</v>
      </c>
      <c r="D257">
        <v>6</v>
      </c>
      <c r="E257">
        <v>5</v>
      </c>
      <c r="F257">
        <v>9</v>
      </c>
      <c r="G257">
        <v>4</v>
      </c>
      <c r="H257">
        <v>5</v>
      </c>
      <c r="I257">
        <v>10</v>
      </c>
      <c r="J257">
        <v>-16</v>
      </c>
      <c r="K257">
        <v>47</v>
      </c>
    </row>
    <row r="258" spans="1:11" x14ac:dyDescent="0.25">
      <c r="A258" t="s">
        <v>41</v>
      </c>
      <c r="B258">
        <v>2005</v>
      </c>
      <c r="C258">
        <v>8</v>
      </c>
      <c r="D258">
        <v>4</v>
      </c>
      <c r="E258">
        <v>7</v>
      </c>
      <c r="F258">
        <v>0</v>
      </c>
      <c r="G258">
        <v>4</v>
      </c>
      <c r="H258">
        <v>6</v>
      </c>
      <c r="I258">
        <v>9</v>
      </c>
      <c r="J258">
        <v>-16</v>
      </c>
      <c r="K258">
        <v>46</v>
      </c>
    </row>
    <row r="259" spans="1:11" x14ac:dyDescent="0.25">
      <c r="A259" t="s">
        <v>45</v>
      </c>
      <c r="B259">
        <v>2005</v>
      </c>
      <c r="C259">
        <v>8</v>
      </c>
      <c r="D259">
        <v>6</v>
      </c>
      <c r="E259">
        <v>5</v>
      </c>
      <c r="F259">
        <v>9</v>
      </c>
      <c r="G259">
        <v>3</v>
      </c>
      <c r="H259">
        <v>6</v>
      </c>
      <c r="I259">
        <v>10</v>
      </c>
      <c r="J259">
        <v>-15</v>
      </c>
      <c r="K259">
        <v>45</v>
      </c>
    </row>
    <row r="260" spans="1:11" x14ac:dyDescent="0.25">
      <c r="A260" t="s">
        <v>44</v>
      </c>
      <c r="B260">
        <v>2005</v>
      </c>
      <c r="C260">
        <v>8</v>
      </c>
      <c r="D260">
        <v>4</v>
      </c>
      <c r="E260">
        <v>7</v>
      </c>
      <c r="F260">
        <v>3</v>
      </c>
      <c r="G260">
        <v>4</v>
      </c>
      <c r="H260">
        <v>4</v>
      </c>
      <c r="I260">
        <v>11</v>
      </c>
      <c r="J260">
        <v>-11</v>
      </c>
      <c r="K260">
        <v>44</v>
      </c>
    </row>
    <row r="261" spans="1:11" x14ac:dyDescent="0.25">
      <c r="A261" t="s">
        <v>33</v>
      </c>
      <c r="B261">
        <v>2005</v>
      </c>
      <c r="C261">
        <v>7</v>
      </c>
      <c r="D261">
        <v>7</v>
      </c>
      <c r="E261">
        <v>5</v>
      </c>
      <c r="F261">
        <v>0</v>
      </c>
      <c r="G261">
        <v>3</v>
      </c>
      <c r="H261">
        <v>7</v>
      </c>
      <c r="I261">
        <v>9</v>
      </c>
      <c r="J261">
        <v>-10</v>
      </c>
      <c r="K261">
        <v>44</v>
      </c>
    </row>
    <row r="262" spans="1:11" x14ac:dyDescent="0.25">
      <c r="A262" t="s">
        <v>14</v>
      </c>
      <c r="B262">
        <v>2005</v>
      </c>
      <c r="C262">
        <v>5</v>
      </c>
      <c r="D262">
        <v>8</v>
      </c>
      <c r="E262">
        <v>6</v>
      </c>
      <c r="F262">
        <v>-1</v>
      </c>
      <c r="G262">
        <v>4</v>
      </c>
      <c r="H262">
        <v>7</v>
      </c>
      <c r="I262">
        <v>8</v>
      </c>
      <c r="J262">
        <v>-10</v>
      </c>
      <c r="K262">
        <v>42</v>
      </c>
    </row>
    <row r="263" spans="1:11" x14ac:dyDescent="0.25">
      <c r="A263" t="s">
        <v>47</v>
      </c>
      <c r="B263">
        <v>2005</v>
      </c>
      <c r="C263">
        <v>8</v>
      </c>
      <c r="D263">
        <v>4</v>
      </c>
      <c r="E263">
        <v>7</v>
      </c>
      <c r="F263">
        <v>4</v>
      </c>
      <c r="G263">
        <v>2</v>
      </c>
      <c r="H263">
        <v>5</v>
      </c>
      <c r="I263">
        <v>12</v>
      </c>
      <c r="J263">
        <v>-20</v>
      </c>
      <c r="K263">
        <v>39</v>
      </c>
    </row>
    <row r="264" spans="1:11" x14ac:dyDescent="0.25">
      <c r="A264" t="s">
        <v>46</v>
      </c>
      <c r="B264">
        <v>2005</v>
      </c>
      <c r="C264">
        <v>5</v>
      </c>
      <c r="D264">
        <v>8</v>
      </c>
      <c r="E264">
        <v>6</v>
      </c>
      <c r="F264">
        <v>-7</v>
      </c>
      <c r="G264">
        <v>1</v>
      </c>
      <c r="H264">
        <v>8</v>
      </c>
      <c r="I264">
        <v>10</v>
      </c>
      <c r="J264">
        <v>-18</v>
      </c>
      <c r="K264">
        <v>34</v>
      </c>
    </row>
    <row r="265" spans="1:11" x14ac:dyDescent="0.25">
      <c r="A265" t="s">
        <v>29</v>
      </c>
      <c r="B265">
        <v>2005</v>
      </c>
      <c r="C265">
        <v>6</v>
      </c>
      <c r="D265">
        <v>5</v>
      </c>
      <c r="E265">
        <v>8</v>
      </c>
      <c r="F265">
        <v>2</v>
      </c>
      <c r="G265">
        <v>1</v>
      </c>
      <c r="H265">
        <v>7</v>
      </c>
      <c r="I265">
        <v>11</v>
      </c>
      <c r="J265">
        <v>-23</v>
      </c>
      <c r="K265">
        <v>33</v>
      </c>
    </row>
    <row r="266" spans="1:11" x14ac:dyDescent="0.25">
      <c r="A266" t="s">
        <v>13</v>
      </c>
      <c r="B266">
        <v>2005</v>
      </c>
      <c r="C266">
        <v>7</v>
      </c>
      <c r="D266">
        <v>5</v>
      </c>
      <c r="E266">
        <v>7</v>
      </c>
      <c r="F266">
        <v>-3</v>
      </c>
      <c r="G266">
        <v>0</v>
      </c>
      <c r="H266">
        <v>7</v>
      </c>
      <c r="I266">
        <v>12</v>
      </c>
      <c r="J266">
        <v>-32</v>
      </c>
      <c r="K266">
        <v>33</v>
      </c>
    </row>
    <row r="267" spans="1:11" x14ac:dyDescent="0.25">
      <c r="A267" t="s">
        <v>28</v>
      </c>
      <c r="B267">
        <v>2005</v>
      </c>
      <c r="C267">
        <v>5</v>
      </c>
      <c r="D267">
        <v>9</v>
      </c>
      <c r="E267">
        <v>5</v>
      </c>
      <c r="F267">
        <v>0</v>
      </c>
      <c r="G267">
        <v>1</v>
      </c>
      <c r="H267">
        <v>5</v>
      </c>
      <c r="I267">
        <v>13</v>
      </c>
      <c r="J267">
        <v>-21</v>
      </c>
      <c r="K267">
        <v>32</v>
      </c>
    </row>
    <row r="268" spans="1:11" x14ac:dyDescent="0.25">
      <c r="A268" t="s">
        <v>21</v>
      </c>
      <c r="B268">
        <v>2006</v>
      </c>
      <c r="C268">
        <v>18</v>
      </c>
      <c r="D268">
        <v>1</v>
      </c>
      <c r="E268">
        <v>0</v>
      </c>
      <c r="F268">
        <v>38</v>
      </c>
      <c r="G268">
        <v>11</v>
      </c>
      <c r="H268">
        <v>3</v>
      </c>
      <c r="I268">
        <v>5</v>
      </c>
      <c r="J268">
        <v>12</v>
      </c>
      <c r="K268">
        <v>91</v>
      </c>
    </row>
    <row r="269" spans="1:11" x14ac:dyDescent="0.25">
      <c r="A269" t="s">
        <v>11</v>
      </c>
      <c r="B269">
        <v>2006</v>
      </c>
      <c r="C269">
        <v>13</v>
      </c>
      <c r="D269">
        <v>5</v>
      </c>
      <c r="E269">
        <v>1</v>
      </c>
      <c r="F269">
        <v>29</v>
      </c>
      <c r="G269">
        <v>12</v>
      </c>
      <c r="H269">
        <v>3</v>
      </c>
      <c r="I269">
        <v>4</v>
      </c>
      <c r="J269">
        <v>9</v>
      </c>
      <c r="K269">
        <v>83</v>
      </c>
    </row>
    <row r="270" spans="1:11" x14ac:dyDescent="0.25">
      <c r="A270" t="s">
        <v>17</v>
      </c>
      <c r="B270">
        <v>2006</v>
      </c>
      <c r="C270">
        <v>15</v>
      </c>
      <c r="D270">
        <v>3</v>
      </c>
      <c r="E270">
        <v>1</v>
      </c>
      <c r="F270">
        <v>24</v>
      </c>
      <c r="G270">
        <v>10</v>
      </c>
      <c r="H270">
        <v>4</v>
      </c>
      <c r="I270">
        <v>5</v>
      </c>
      <c r="J270">
        <v>8</v>
      </c>
      <c r="K270">
        <v>82</v>
      </c>
    </row>
    <row r="271" spans="1:11" x14ac:dyDescent="0.25">
      <c r="A271" t="s">
        <v>20</v>
      </c>
      <c r="B271">
        <v>2006</v>
      </c>
      <c r="C271">
        <v>14</v>
      </c>
      <c r="D271">
        <v>3</v>
      </c>
      <c r="E271">
        <v>2</v>
      </c>
      <c r="F271">
        <v>35</v>
      </c>
      <c r="G271">
        <v>6</v>
      </c>
      <c r="H271">
        <v>4</v>
      </c>
      <c r="I271">
        <v>9</v>
      </c>
      <c r="J271">
        <v>2</v>
      </c>
      <c r="K271">
        <v>67</v>
      </c>
    </row>
    <row r="272" spans="1:11" x14ac:dyDescent="0.25">
      <c r="A272" t="s">
        <v>16</v>
      </c>
      <c r="B272">
        <v>2006</v>
      </c>
      <c r="C272">
        <v>12</v>
      </c>
      <c r="D272">
        <v>5</v>
      </c>
      <c r="E272">
        <v>2</v>
      </c>
      <c r="F272">
        <v>15</v>
      </c>
      <c r="G272">
        <v>6</v>
      </c>
      <c r="H272">
        <v>6</v>
      </c>
      <c r="I272">
        <v>7</v>
      </c>
      <c r="J272">
        <v>0</v>
      </c>
      <c r="K272">
        <v>65</v>
      </c>
    </row>
    <row r="273" spans="1:11" x14ac:dyDescent="0.25">
      <c r="A273" t="s">
        <v>14</v>
      </c>
      <c r="B273">
        <v>2006</v>
      </c>
      <c r="C273">
        <v>13</v>
      </c>
      <c r="D273">
        <v>3</v>
      </c>
      <c r="E273">
        <v>3</v>
      </c>
      <c r="F273">
        <v>14</v>
      </c>
      <c r="G273">
        <v>6</v>
      </c>
      <c r="H273">
        <v>3</v>
      </c>
      <c r="I273">
        <v>10</v>
      </c>
      <c r="J273">
        <v>-5</v>
      </c>
      <c r="K273">
        <v>63</v>
      </c>
    </row>
    <row r="274" spans="1:11" x14ac:dyDescent="0.25">
      <c r="A274" t="s">
        <v>33</v>
      </c>
      <c r="B274">
        <v>2006</v>
      </c>
      <c r="C274">
        <v>11</v>
      </c>
      <c r="D274">
        <v>5</v>
      </c>
      <c r="E274">
        <v>3</v>
      </c>
      <c r="F274">
        <v>13</v>
      </c>
      <c r="G274">
        <v>6</v>
      </c>
      <c r="H274">
        <v>2</v>
      </c>
      <c r="I274">
        <v>11</v>
      </c>
      <c r="J274">
        <v>-8</v>
      </c>
      <c r="K274">
        <v>58</v>
      </c>
    </row>
    <row r="275" spans="1:11" x14ac:dyDescent="0.25">
      <c r="A275" t="s">
        <v>37</v>
      </c>
      <c r="B275">
        <v>2006</v>
      </c>
      <c r="C275">
        <v>11</v>
      </c>
      <c r="D275">
        <v>5</v>
      </c>
      <c r="E275">
        <v>3</v>
      </c>
      <c r="F275">
        <v>16</v>
      </c>
      <c r="G275">
        <v>4</v>
      </c>
      <c r="H275">
        <v>6</v>
      </c>
      <c r="I275">
        <v>9</v>
      </c>
      <c r="J275">
        <v>-8</v>
      </c>
      <c r="K275">
        <v>56</v>
      </c>
    </row>
    <row r="276" spans="1:11" x14ac:dyDescent="0.25">
      <c r="A276" t="s">
        <v>34</v>
      </c>
      <c r="B276">
        <v>2006</v>
      </c>
      <c r="C276">
        <v>9</v>
      </c>
      <c r="D276">
        <v>3</v>
      </c>
      <c r="E276">
        <v>7</v>
      </c>
      <c r="F276">
        <v>5</v>
      </c>
      <c r="G276">
        <v>7</v>
      </c>
      <c r="H276">
        <v>4</v>
      </c>
      <c r="I276">
        <v>8</v>
      </c>
      <c r="J276">
        <v>-8</v>
      </c>
      <c r="K276">
        <v>55</v>
      </c>
    </row>
    <row r="277" spans="1:11" x14ac:dyDescent="0.25">
      <c r="A277" t="s">
        <v>49</v>
      </c>
      <c r="B277">
        <v>2006</v>
      </c>
      <c r="C277">
        <v>7</v>
      </c>
      <c r="D277">
        <v>3</v>
      </c>
      <c r="E277">
        <v>9</v>
      </c>
      <c r="F277">
        <v>-2</v>
      </c>
      <c r="G277">
        <v>8</v>
      </c>
      <c r="H277">
        <v>3</v>
      </c>
      <c r="I277">
        <v>8</v>
      </c>
      <c r="J277">
        <v>-5</v>
      </c>
      <c r="K277">
        <v>51</v>
      </c>
    </row>
    <row r="278" spans="1:11" x14ac:dyDescent="0.25">
      <c r="A278" t="s">
        <v>23</v>
      </c>
      <c r="B278">
        <v>2006</v>
      </c>
      <c r="C278">
        <v>8</v>
      </c>
      <c r="D278">
        <v>4</v>
      </c>
      <c r="E278">
        <v>7</v>
      </c>
      <c r="F278">
        <v>0</v>
      </c>
      <c r="G278">
        <v>6</v>
      </c>
      <c r="H278">
        <v>4</v>
      </c>
      <c r="I278">
        <v>9</v>
      </c>
      <c r="J278">
        <v>-15</v>
      </c>
      <c r="K278">
        <v>50</v>
      </c>
    </row>
    <row r="279" spans="1:11" x14ac:dyDescent="0.25">
      <c r="A279" t="s">
        <v>44</v>
      </c>
      <c r="B279">
        <v>2006</v>
      </c>
      <c r="C279">
        <v>13</v>
      </c>
      <c r="D279">
        <v>2</v>
      </c>
      <c r="E279">
        <v>4</v>
      </c>
      <c r="F279">
        <v>10</v>
      </c>
      <c r="G279">
        <v>1</v>
      </c>
      <c r="H279">
        <v>4</v>
      </c>
      <c r="I279">
        <v>14</v>
      </c>
      <c r="J279">
        <v>-20</v>
      </c>
      <c r="K279">
        <v>48</v>
      </c>
    </row>
    <row r="280" spans="1:11" x14ac:dyDescent="0.25">
      <c r="A280" t="s">
        <v>41</v>
      </c>
      <c r="B280">
        <v>2006</v>
      </c>
      <c r="C280">
        <v>8</v>
      </c>
      <c r="D280">
        <v>4</v>
      </c>
      <c r="E280">
        <v>7</v>
      </c>
      <c r="F280">
        <v>1</v>
      </c>
      <c r="G280">
        <v>5</v>
      </c>
      <c r="H280">
        <v>4</v>
      </c>
      <c r="I280">
        <v>10</v>
      </c>
      <c r="J280">
        <v>-15</v>
      </c>
      <c r="K280">
        <v>47</v>
      </c>
    </row>
    <row r="281" spans="1:11" x14ac:dyDescent="0.25">
      <c r="A281" t="s">
        <v>31</v>
      </c>
      <c r="B281">
        <v>2006</v>
      </c>
      <c r="C281">
        <v>7</v>
      </c>
      <c r="D281">
        <v>5</v>
      </c>
      <c r="E281">
        <v>7</v>
      </c>
      <c r="F281">
        <v>-2</v>
      </c>
      <c r="G281">
        <v>5</v>
      </c>
      <c r="H281">
        <v>4</v>
      </c>
      <c r="I281">
        <v>10</v>
      </c>
      <c r="J281">
        <v>-8</v>
      </c>
      <c r="K281">
        <v>45</v>
      </c>
    </row>
    <row r="282" spans="1:11" x14ac:dyDescent="0.25">
      <c r="A282" t="s">
        <v>19</v>
      </c>
      <c r="B282">
        <v>2006</v>
      </c>
      <c r="C282">
        <v>9</v>
      </c>
      <c r="D282">
        <v>2</v>
      </c>
      <c r="E282">
        <v>8</v>
      </c>
      <c r="F282">
        <v>6</v>
      </c>
      <c r="G282">
        <v>4</v>
      </c>
      <c r="H282">
        <v>2</v>
      </c>
      <c r="I282">
        <v>13</v>
      </c>
      <c r="J282">
        <v>-11</v>
      </c>
      <c r="K282">
        <v>43</v>
      </c>
    </row>
    <row r="283" spans="1:11" x14ac:dyDescent="0.25">
      <c r="A283" t="s">
        <v>12</v>
      </c>
      <c r="B283">
        <v>2006</v>
      </c>
      <c r="C283">
        <v>6</v>
      </c>
      <c r="D283">
        <v>6</v>
      </c>
      <c r="E283">
        <v>7</v>
      </c>
      <c r="F283">
        <v>0</v>
      </c>
      <c r="G283">
        <v>4</v>
      </c>
      <c r="H283">
        <v>6</v>
      </c>
      <c r="I283">
        <v>9</v>
      </c>
      <c r="J283">
        <v>-13</v>
      </c>
      <c r="K283">
        <v>42</v>
      </c>
    </row>
    <row r="284" spans="1:11" x14ac:dyDescent="0.25">
      <c r="A284" t="s">
        <v>47</v>
      </c>
      <c r="B284">
        <v>2006</v>
      </c>
      <c r="C284">
        <v>5</v>
      </c>
      <c r="D284">
        <v>7</v>
      </c>
      <c r="E284">
        <v>7</v>
      </c>
      <c r="F284">
        <v>-7</v>
      </c>
      <c r="G284">
        <v>5</v>
      </c>
      <c r="H284">
        <v>1</v>
      </c>
      <c r="I284">
        <v>13</v>
      </c>
      <c r="J284">
        <v>-18</v>
      </c>
      <c r="K284">
        <v>38</v>
      </c>
    </row>
    <row r="285" spans="1:11" x14ac:dyDescent="0.25">
      <c r="A285" t="s">
        <v>45</v>
      </c>
      <c r="B285">
        <v>2006</v>
      </c>
      <c r="C285">
        <v>6</v>
      </c>
      <c r="D285">
        <v>5</v>
      </c>
      <c r="E285">
        <v>8</v>
      </c>
      <c r="F285">
        <v>-1</v>
      </c>
      <c r="G285">
        <v>2</v>
      </c>
      <c r="H285">
        <v>5</v>
      </c>
      <c r="I285">
        <v>12</v>
      </c>
      <c r="J285">
        <v>-21</v>
      </c>
      <c r="K285">
        <v>34</v>
      </c>
    </row>
    <row r="286" spans="1:11" x14ac:dyDescent="0.25">
      <c r="A286" t="s">
        <v>46</v>
      </c>
      <c r="B286">
        <v>2006</v>
      </c>
      <c r="C286">
        <v>6</v>
      </c>
      <c r="D286">
        <v>2</v>
      </c>
      <c r="E286">
        <v>11</v>
      </c>
      <c r="F286">
        <v>-3</v>
      </c>
      <c r="G286">
        <v>1</v>
      </c>
      <c r="H286">
        <v>7</v>
      </c>
      <c r="I286">
        <v>11</v>
      </c>
      <c r="J286">
        <v>-24</v>
      </c>
      <c r="K286">
        <v>30</v>
      </c>
    </row>
    <row r="287" spans="1:11" x14ac:dyDescent="0.25">
      <c r="A287" t="s">
        <v>39</v>
      </c>
      <c r="B287">
        <v>2006</v>
      </c>
      <c r="C287">
        <v>1</v>
      </c>
      <c r="D287">
        <v>4</v>
      </c>
      <c r="E287">
        <v>14</v>
      </c>
      <c r="F287">
        <v>-25</v>
      </c>
      <c r="G287">
        <v>2</v>
      </c>
      <c r="H287">
        <v>2</v>
      </c>
      <c r="I287">
        <v>15</v>
      </c>
      <c r="J287">
        <v>-18</v>
      </c>
      <c r="K287">
        <v>15</v>
      </c>
    </row>
    <row r="288" spans="1:11" x14ac:dyDescent="0.25">
      <c r="A288" t="s">
        <v>11</v>
      </c>
      <c r="B288">
        <v>2007</v>
      </c>
      <c r="C288">
        <v>15</v>
      </c>
      <c r="D288">
        <v>2</v>
      </c>
      <c r="E288">
        <v>2</v>
      </c>
      <c r="F288">
        <v>34</v>
      </c>
      <c r="G288">
        <v>13</v>
      </c>
      <c r="H288">
        <v>3</v>
      </c>
      <c r="I288">
        <v>3</v>
      </c>
      <c r="J288">
        <v>22</v>
      </c>
      <c r="K288">
        <v>89</v>
      </c>
    </row>
    <row r="289" spans="1:11" x14ac:dyDescent="0.25">
      <c r="A289" t="s">
        <v>21</v>
      </c>
      <c r="B289">
        <v>2007</v>
      </c>
      <c r="C289">
        <v>12</v>
      </c>
      <c r="D289">
        <v>7</v>
      </c>
      <c r="E289">
        <v>0</v>
      </c>
      <c r="F289">
        <v>26</v>
      </c>
      <c r="G289">
        <v>12</v>
      </c>
      <c r="H289">
        <v>4</v>
      </c>
      <c r="I289">
        <v>3</v>
      </c>
      <c r="J289">
        <v>14</v>
      </c>
      <c r="K289">
        <v>83</v>
      </c>
    </row>
    <row r="290" spans="1:11" x14ac:dyDescent="0.25">
      <c r="A290" t="s">
        <v>20</v>
      </c>
      <c r="B290">
        <v>2007</v>
      </c>
      <c r="C290">
        <v>12</v>
      </c>
      <c r="D290">
        <v>6</v>
      </c>
      <c r="E290">
        <v>1</v>
      </c>
      <c r="F290">
        <v>27</v>
      </c>
      <c r="G290">
        <v>7</v>
      </c>
      <c r="H290">
        <v>5</v>
      </c>
      <c r="I290">
        <v>7</v>
      </c>
      <c r="J290">
        <v>1</v>
      </c>
      <c r="K290">
        <v>68</v>
      </c>
    </row>
    <row r="291" spans="1:11" x14ac:dyDescent="0.25">
      <c r="A291" t="s">
        <v>17</v>
      </c>
      <c r="B291">
        <v>2007</v>
      </c>
      <c r="C291">
        <v>14</v>
      </c>
      <c r="D291">
        <v>4</v>
      </c>
      <c r="E291">
        <v>1</v>
      </c>
      <c r="F291">
        <v>32</v>
      </c>
      <c r="G291">
        <v>6</v>
      </c>
      <c r="H291">
        <v>4</v>
      </c>
      <c r="I291">
        <v>9</v>
      </c>
      <c r="J291">
        <v>-2</v>
      </c>
      <c r="K291">
        <v>68</v>
      </c>
    </row>
    <row r="292" spans="1:11" x14ac:dyDescent="0.25">
      <c r="A292" t="s">
        <v>16</v>
      </c>
      <c r="B292">
        <v>2007</v>
      </c>
      <c r="C292">
        <v>12</v>
      </c>
      <c r="D292">
        <v>3</v>
      </c>
      <c r="E292">
        <v>4</v>
      </c>
      <c r="F292">
        <v>12</v>
      </c>
      <c r="G292">
        <v>5</v>
      </c>
      <c r="H292">
        <v>6</v>
      </c>
      <c r="I292">
        <v>8</v>
      </c>
      <c r="J292">
        <v>-9</v>
      </c>
      <c r="K292">
        <v>60</v>
      </c>
    </row>
    <row r="293" spans="1:11" x14ac:dyDescent="0.25">
      <c r="A293" t="s">
        <v>23</v>
      </c>
      <c r="B293">
        <v>2007</v>
      </c>
      <c r="C293">
        <v>11</v>
      </c>
      <c r="D293">
        <v>4</v>
      </c>
      <c r="E293">
        <v>4</v>
      </c>
      <c r="F293">
        <v>16</v>
      </c>
      <c r="G293">
        <v>4</v>
      </c>
      <c r="H293">
        <v>9</v>
      </c>
      <c r="I293">
        <v>6</v>
      </c>
      <c r="J293">
        <v>0</v>
      </c>
      <c r="K293">
        <v>58</v>
      </c>
    </row>
    <row r="294" spans="1:11" x14ac:dyDescent="0.25">
      <c r="A294" t="s">
        <v>37</v>
      </c>
      <c r="B294">
        <v>2007</v>
      </c>
      <c r="C294">
        <v>9</v>
      </c>
      <c r="D294">
        <v>5</v>
      </c>
      <c r="E294">
        <v>5</v>
      </c>
      <c r="F294">
        <v>6</v>
      </c>
      <c r="G294">
        <v>7</v>
      </c>
      <c r="H294">
        <v>3</v>
      </c>
      <c r="I294">
        <v>9</v>
      </c>
      <c r="J294">
        <v>-11</v>
      </c>
      <c r="K294">
        <v>56</v>
      </c>
    </row>
    <row r="295" spans="1:11" x14ac:dyDescent="0.25">
      <c r="A295" t="s">
        <v>50</v>
      </c>
      <c r="B295">
        <v>2007</v>
      </c>
      <c r="C295">
        <v>11</v>
      </c>
      <c r="D295">
        <v>2</v>
      </c>
      <c r="E295">
        <v>6</v>
      </c>
      <c r="F295">
        <v>9</v>
      </c>
      <c r="G295">
        <v>5</v>
      </c>
      <c r="H295">
        <v>5</v>
      </c>
      <c r="I295">
        <v>9</v>
      </c>
      <c r="J295">
        <v>-4</v>
      </c>
      <c r="K295">
        <v>55</v>
      </c>
    </row>
    <row r="296" spans="1:11" x14ac:dyDescent="0.25">
      <c r="A296" t="s">
        <v>47</v>
      </c>
      <c r="B296">
        <v>2007</v>
      </c>
      <c r="C296">
        <v>11</v>
      </c>
      <c r="D296">
        <v>5</v>
      </c>
      <c r="E296">
        <v>3</v>
      </c>
      <c r="F296">
        <v>13</v>
      </c>
      <c r="G296">
        <v>3</v>
      </c>
      <c r="H296">
        <v>7</v>
      </c>
      <c r="I296">
        <v>9</v>
      </c>
      <c r="J296">
        <v>-10</v>
      </c>
      <c r="K296">
        <v>54</v>
      </c>
    </row>
    <row r="297" spans="1:11" x14ac:dyDescent="0.25">
      <c r="A297" t="s">
        <v>14</v>
      </c>
      <c r="B297">
        <v>2007</v>
      </c>
      <c r="C297">
        <v>9</v>
      </c>
      <c r="D297">
        <v>3</v>
      </c>
      <c r="E297">
        <v>7</v>
      </c>
      <c r="F297">
        <v>6</v>
      </c>
      <c r="G297">
        <v>6</v>
      </c>
      <c r="H297">
        <v>4</v>
      </c>
      <c r="I297">
        <v>9</v>
      </c>
      <c r="J297">
        <v>-8</v>
      </c>
      <c r="K297">
        <v>52</v>
      </c>
    </row>
    <row r="298" spans="1:11" x14ac:dyDescent="0.25">
      <c r="A298" t="s">
        <v>12</v>
      </c>
      <c r="B298">
        <v>2007</v>
      </c>
      <c r="C298">
        <v>7</v>
      </c>
      <c r="D298">
        <v>8</v>
      </c>
      <c r="E298">
        <v>4</v>
      </c>
      <c r="F298">
        <v>6</v>
      </c>
      <c r="G298">
        <v>4</v>
      </c>
      <c r="H298">
        <v>9</v>
      </c>
      <c r="I298">
        <v>6</v>
      </c>
      <c r="J298">
        <v>-4</v>
      </c>
      <c r="K298">
        <v>50</v>
      </c>
    </row>
    <row r="299" spans="1:11" x14ac:dyDescent="0.25">
      <c r="A299" t="s">
        <v>31</v>
      </c>
      <c r="B299">
        <v>2007</v>
      </c>
      <c r="C299">
        <v>10</v>
      </c>
      <c r="D299">
        <v>3</v>
      </c>
      <c r="E299">
        <v>6</v>
      </c>
      <c r="F299">
        <v>7</v>
      </c>
      <c r="G299">
        <v>2</v>
      </c>
      <c r="H299">
        <v>7</v>
      </c>
      <c r="I299">
        <v>10</v>
      </c>
      <c r="J299">
        <v>-12</v>
      </c>
      <c r="K299">
        <v>46</v>
      </c>
    </row>
    <row r="300" spans="1:11" x14ac:dyDescent="0.25">
      <c r="A300" t="s">
        <v>33</v>
      </c>
      <c r="B300">
        <v>2007</v>
      </c>
      <c r="C300">
        <v>7</v>
      </c>
      <c r="D300">
        <v>7</v>
      </c>
      <c r="E300">
        <v>5</v>
      </c>
      <c r="F300">
        <v>3</v>
      </c>
      <c r="G300">
        <v>4</v>
      </c>
      <c r="H300">
        <v>3</v>
      </c>
      <c r="I300">
        <v>12</v>
      </c>
      <c r="J300">
        <v>-12</v>
      </c>
      <c r="K300">
        <v>43</v>
      </c>
    </row>
    <row r="301" spans="1:11" x14ac:dyDescent="0.25">
      <c r="A301" t="s">
        <v>19</v>
      </c>
      <c r="B301">
        <v>2007</v>
      </c>
      <c r="C301">
        <v>5</v>
      </c>
      <c r="D301">
        <v>6</v>
      </c>
      <c r="E301">
        <v>8</v>
      </c>
      <c r="F301">
        <v>-6</v>
      </c>
      <c r="G301">
        <v>6</v>
      </c>
      <c r="H301">
        <v>3</v>
      </c>
      <c r="I301">
        <v>10</v>
      </c>
      <c r="J301">
        <v>-9</v>
      </c>
      <c r="K301">
        <v>42</v>
      </c>
    </row>
    <row r="302" spans="1:11" x14ac:dyDescent="0.25">
      <c r="A302" t="s">
        <v>34</v>
      </c>
      <c r="B302">
        <v>2007</v>
      </c>
      <c r="C302">
        <v>8</v>
      </c>
      <c r="D302">
        <v>2</v>
      </c>
      <c r="E302">
        <v>9</v>
      </c>
      <c r="F302">
        <v>-2</v>
      </c>
      <c r="G302">
        <v>4</v>
      </c>
      <c r="H302">
        <v>3</v>
      </c>
      <c r="I302">
        <v>12</v>
      </c>
      <c r="J302">
        <v>-22</v>
      </c>
      <c r="K302">
        <v>41</v>
      </c>
    </row>
    <row r="303" spans="1:11" x14ac:dyDescent="0.25">
      <c r="A303" t="s">
        <v>44</v>
      </c>
      <c r="B303">
        <v>2007</v>
      </c>
      <c r="C303">
        <v>7</v>
      </c>
      <c r="D303">
        <v>7</v>
      </c>
      <c r="E303">
        <v>5</v>
      </c>
      <c r="F303">
        <v>0</v>
      </c>
      <c r="G303">
        <v>1</v>
      </c>
      <c r="H303">
        <v>8</v>
      </c>
      <c r="I303">
        <v>10</v>
      </c>
      <c r="J303">
        <v>-22</v>
      </c>
      <c r="K303">
        <v>39</v>
      </c>
    </row>
    <row r="304" spans="1:11" x14ac:dyDescent="0.25">
      <c r="A304" t="s">
        <v>25</v>
      </c>
      <c r="B304">
        <v>2007</v>
      </c>
      <c r="C304">
        <v>7</v>
      </c>
      <c r="D304">
        <v>6</v>
      </c>
      <c r="E304">
        <v>6</v>
      </c>
      <c r="F304">
        <v>3</v>
      </c>
      <c r="G304">
        <v>3</v>
      </c>
      <c r="H304">
        <v>2</v>
      </c>
      <c r="I304">
        <v>14</v>
      </c>
      <c r="J304">
        <v>-26</v>
      </c>
      <c r="K304">
        <v>38</v>
      </c>
    </row>
    <row r="305" spans="1:11" x14ac:dyDescent="0.25">
      <c r="A305" t="s">
        <v>49</v>
      </c>
      <c r="B305">
        <v>2007</v>
      </c>
      <c r="C305">
        <v>5</v>
      </c>
      <c r="D305">
        <v>4</v>
      </c>
      <c r="E305">
        <v>10</v>
      </c>
      <c r="F305">
        <v>-12</v>
      </c>
      <c r="G305">
        <v>5</v>
      </c>
      <c r="H305">
        <v>4</v>
      </c>
      <c r="I305">
        <v>10</v>
      </c>
      <c r="J305">
        <v>-10</v>
      </c>
      <c r="K305">
        <v>38</v>
      </c>
    </row>
    <row r="306" spans="1:11" x14ac:dyDescent="0.25">
      <c r="A306" t="s">
        <v>41</v>
      </c>
      <c r="B306">
        <v>2007</v>
      </c>
      <c r="C306">
        <v>7</v>
      </c>
      <c r="D306">
        <v>5</v>
      </c>
      <c r="E306">
        <v>7</v>
      </c>
      <c r="F306">
        <v>-1</v>
      </c>
      <c r="G306">
        <v>1</v>
      </c>
      <c r="H306">
        <v>5</v>
      </c>
      <c r="I306">
        <v>13</v>
      </c>
      <c r="J306">
        <v>-25</v>
      </c>
      <c r="K306">
        <v>34</v>
      </c>
    </row>
    <row r="307" spans="1:11" x14ac:dyDescent="0.25">
      <c r="A307" t="s">
        <v>43</v>
      </c>
      <c r="B307">
        <v>2007</v>
      </c>
      <c r="C307">
        <v>3</v>
      </c>
      <c r="D307">
        <v>9</v>
      </c>
      <c r="E307">
        <v>7</v>
      </c>
      <c r="F307">
        <v>-6</v>
      </c>
      <c r="G307">
        <v>2</v>
      </c>
      <c r="H307">
        <v>4</v>
      </c>
      <c r="I307">
        <v>13</v>
      </c>
      <c r="J307">
        <v>-24</v>
      </c>
      <c r="K307">
        <v>28</v>
      </c>
    </row>
    <row r="308" spans="1:11" x14ac:dyDescent="0.25">
      <c r="A308" t="s">
        <v>11</v>
      </c>
      <c r="B308">
        <v>2008</v>
      </c>
      <c r="C308">
        <v>17</v>
      </c>
      <c r="D308">
        <v>1</v>
      </c>
      <c r="E308">
        <v>1</v>
      </c>
      <c r="F308">
        <v>40</v>
      </c>
      <c r="G308">
        <v>10</v>
      </c>
      <c r="H308">
        <v>5</v>
      </c>
      <c r="I308">
        <v>4</v>
      </c>
      <c r="J308">
        <v>18</v>
      </c>
      <c r="K308">
        <v>87</v>
      </c>
    </row>
    <row r="309" spans="1:11" x14ac:dyDescent="0.25">
      <c r="A309" t="s">
        <v>21</v>
      </c>
      <c r="B309">
        <v>2008</v>
      </c>
      <c r="C309">
        <v>12</v>
      </c>
      <c r="D309">
        <v>7</v>
      </c>
      <c r="E309">
        <v>0</v>
      </c>
      <c r="F309">
        <v>23</v>
      </c>
      <c r="G309">
        <v>13</v>
      </c>
      <c r="H309">
        <v>3</v>
      </c>
      <c r="I309">
        <v>3</v>
      </c>
      <c r="J309">
        <v>16</v>
      </c>
      <c r="K309">
        <v>85</v>
      </c>
    </row>
    <row r="310" spans="1:11" x14ac:dyDescent="0.25">
      <c r="A310" t="s">
        <v>20</v>
      </c>
      <c r="B310">
        <v>2008</v>
      </c>
      <c r="C310">
        <v>14</v>
      </c>
      <c r="D310">
        <v>5</v>
      </c>
      <c r="E310">
        <v>0</v>
      </c>
      <c r="F310">
        <v>26</v>
      </c>
      <c r="G310">
        <v>10</v>
      </c>
      <c r="H310">
        <v>6</v>
      </c>
      <c r="I310">
        <v>3</v>
      </c>
      <c r="J310">
        <v>17</v>
      </c>
      <c r="K310">
        <v>83</v>
      </c>
    </row>
    <row r="311" spans="1:11" x14ac:dyDescent="0.25">
      <c r="A311" t="s">
        <v>17</v>
      </c>
      <c r="B311">
        <v>2008</v>
      </c>
      <c r="C311">
        <v>12</v>
      </c>
      <c r="D311">
        <v>6</v>
      </c>
      <c r="E311">
        <v>1</v>
      </c>
      <c r="F311">
        <v>30</v>
      </c>
      <c r="G311">
        <v>9</v>
      </c>
      <c r="H311">
        <v>7</v>
      </c>
      <c r="I311">
        <v>3</v>
      </c>
      <c r="J311">
        <v>9</v>
      </c>
      <c r="K311">
        <v>76</v>
      </c>
    </row>
    <row r="312" spans="1:11" x14ac:dyDescent="0.25">
      <c r="A312" t="s">
        <v>23</v>
      </c>
      <c r="B312">
        <v>2008</v>
      </c>
      <c r="C312">
        <v>11</v>
      </c>
      <c r="D312">
        <v>4</v>
      </c>
      <c r="E312">
        <v>4</v>
      </c>
      <c r="F312">
        <v>17</v>
      </c>
      <c r="G312">
        <v>8</v>
      </c>
      <c r="H312">
        <v>4</v>
      </c>
      <c r="I312">
        <v>7</v>
      </c>
      <c r="J312">
        <v>5</v>
      </c>
      <c r="K312">
        <v>65</v>
      </c>
    </row>
    <row r="313" spans="1:11" x14ac:dyDescent="0.25">
      <c r="A313" t="s">
        <v>12</v>
      </c>
      <c r="B313">
        <v>2008</v>
      </c>
      <c r="C313">
        <v>10</v>
      </c>
      <c r="D313">
        <v>3</v>
      </c>
      <c r="E313">
        <v>6</v>
      </c>
      <c r="F313">
        <v>12</v>
      </c>
      <c r="G313">
        <v>6</v>
      </c>
      <c r="H313">
        <v>9</v>
      </c>
      <c r="I313">
        <v>4</v>
      </c>
      <c r="J313">
        <v>8</v>
      </c>
      <c r="K313">
        <v>60</v>
      </c>
    </row>
    <row r="314" spans="1:11" x14ac:dyDescent="0.25">
      <c r="A314" t="s">
        <v>14</v>
      </c>
      <c r="B314">
        <v>2008</v>
      </c>
      <c r="C314">
        <v>8</v>
      </c>
      <c r="D314">
        <v>7</v>
      </c>
      <c r="E314">
        <v>4</v>
      </c>
      <c r="F314">
        <v>7</v>
      </c>
      <c r="G314">
        <v>7</v>
      </c>
      <c r="H314">
        <v>6</v>
      </c>
      <c r="I314">
        <v>6</v>
      </c>
      <c r="J314">
        <v>-5</v>
      </c>
      <c r="K314">
        <v>58</v>
      </c>
    </row>
    <row r="315" spans="1:11" x14ac:dyDescent="0.25">
      <c r="A315" t="s">
        <v>47</v>
      </c>
      <c r="B315">
        <v>2008</v>
      </c>
      <c r="C315">
        <v>7</v>
      </c>
      <c r="D315">
        <v>8</v>
      </c>
      <c r="E315">
        <v>4</v>
      </c>
      <c r="F315">
        <v>10</v>
      </c>
      <c r="G315">
        <v>9</v>
      </c>
      <c r="H315">
        <v>1</v>
      </c>
      <c r="I315">
        <v>9</v>
      </c>
      <c r="J315">
        <v>-2</v>
      </c>
      <c r="K315">
        <v>57</v>
      </c>
    </row>
    <row r="316" spans="1:11" x14ac:dyDescent="0.25">
      <c r="A316" t="s">
        <v>19</v>
      </c>
      <c r="B316">
        <v>2008</v>
      </c>
      <c r="C316">
        <v>11</v>
      </c>
      <c r="D316">
        <v>4</v>
      </c>
      <c r="E316">
        <v>4</v>
      </c>
      <c r="F316">
        <v>8</v>
      </c>
      <c r="G316">
        <v>4</v>
      </c>
      <c r="H316">
        <v>6</v>
      </c>
      <c r="I316">
        <v>9</v>
      </c>
      <c r="J316">
        <v>-16</v>
      </c>
      <c r="K316">
        <v>55</v>
      </c>
    </row>
    <row r="317" spans="1:11" x14ac:dyDescent="0.25">
      <c r="A317" t="s">
        <v>34</v>
      </c>
      <c r="B317">
        <v>2008</v>
      </c>
      <c r="C317">
        <v>7</v>
      </c>
      <c r="D317">
        <v>7</v>
      </c>
      <c r="E317">
        <v>5</v>
      </c>
      <c r="F317">
        <v>0</v>
      </c>
      <c r="G317">
        <v>6</v>
      </c>
      <c r="H317">
        <v>3</v>
      </c>
      <c r="I317">
        <v>10</v>
      </c>
      <c r="J317">
        <v>-8</v>
      </c>
      <c r="K317">
        <v>49</v>
      </c>
    </row>
    <row r="318" spans="1:11" x14ac:dyDescent="0.25">
      <c r="A318" t="s">
        <v>16</v>
      </c>
      <c r="B318">
        <v>2008</v>
      </c>
      <c r="C318">
        <v>8</v>
      </c>
      <c r="D318">
        <v>5</v>
      </c>
      <c r="E318">
        <v>6</v>
      </c>
      <c r="F318">
        <v>12</v>
      </c>
      <c r="G318">
        <v>3</v>
      </c>
      <c r="H318">
        <v>8</v>
      </c>
      <c r="I318">
        <v>8</v>
      </c>
      <c r="J318">
        <v>-7</v>
      </c>
      <c r="K318">
        <v>46</v>
      </c>
    </row>
    <row r="319" spans="1:11" x14ac:dyDescent="0.25">
      <c r="A319" t="s">
        <v>33</v>
      </c>
      <c r="B319">
        <v>2008</v>
      </c>
      <c r="C319">
        <v>8</v>
      </c>
      <c r="D319">
        <v>5</v>
      </c>
      <c r="E319">
        <v>6</v>
      </c>
      <c r="F319">
        <v>-1</v>
      </c>
      <c r="G319">
        <v>3</v>
      </c>
      <c r="H319">
        <v>5</v>
      </c>
      <c r="I319">
        <v>11</v>
      </c>
      <c r="J319">
        <v>-19</v>
      </c>
      <c r="K319">
        <v>43</v>
      </c>
    </row>
    <row r="320" spans="1:11" x14ac:dyDescent="0.25">
      <c r="A320" t="s">
        <v>31</v>
      </c>
      <c r="B320">
        <v>2008</v>
      </c>
      <c r="C320">
        <v>7</v>
      </c>
      <c r="D320">
        <v>5</v>
      </c>
      <c r="E320">
        <v>7</v>
      </c>
      <c r="F320">
        <v>4</v>
      </c>
      <c r="G320">
        <v>3</v>
      </c>
      <c r="H320">
        <v>7</v>
      </c>
      <c r="I320">
        <v>9</v>
      </c>
      <c r="J320">
        <v>-14</v>
      </c>
      <c r="K320">
        <v>42</v>
      </c>
    </row>
    <row r="321" spans="1:11" x14ac:dyDescent="0.25">
      <c r="A321" t="s">
        <v>49</v>
      </c>
      <c r="B321">
        <v>2008</v>
      </c>
      <c r="C321">
        <v>8</v>
      </c>
      <c r="D321">
        <v>5</v>
      </c>
      <c r="E321">
        <v>6</v>
      </c>
      <c r="F321">
        <v>4</v>
      </c>
      <c r="G321">
        <v>2</v>
      </c>
      <c r="H321">
        <v>5</v>
      </c>
      <c r="I321">
        <v>12</v>
      </c>
      <c r="J321">
        <v>-21</v>
      </c>
      <c r="K321">
        <v>40</v>
      </c>
    </row>
    <row r="322" spans="1:11" x14ac:dyDescent="0.25">
      <c r="A322" t="s">
        <v>39</v>
      </c>
      <c r="B322">
        <v>2008</v>
      </c>
      <c r="C322">
        <v>9</v>
      </c>
      <c r="D322">
        <v>3</v>
      </c>
      <c r="E322">
        <v>7</v>
      </c>
      <c r="F322">
        <v>2</v>
      </c>
      <c r="G322">
        <v>2</v>
      </c>
      <c r="H322">
        <v>3</v>
      </c>
      <c r="I322">
        <v>14</v>
      </c>
      <c r="J322">
        <v>-25</v>
      </c>
      <c r="K322">
        <v>39</v>
      </c>
    </row>
    <row r="323" spans="1:11" x14ac:dyDescent="0.25">
      <c r="A323" t="s">
        <v>37</v>
      </c>
      <c r="B323">
        <v>2008</v>
      </c>
      <c r="C323">
        <v>7</v>
      </c>
      <c r="D323">
        <v>5</v>
      </c>
      <c r="E323">
        <v>7</v>
      </c>
      <c r="F323">
        <v>5</v>
      </c>
      <c r="G323">
        <v>2</v>
      </c>
      <c r="H323">
        <v>5</v>
      </c>
      <c r="I323">
        <v>12</v>
      </c>
      <c r="J323">
        <v>-23</v>
      </c>
      <c r="K323">
        <v>37</v>
      </c>
    </row>
    <row r="324" spans="1:11" x14ac:dyDescent="0.25">
      <c r="A324" t="s">
        <v>44</v>
      </c>
      <c r="B324">
        <v>2008</v>
      </c>
      <c r="C324">
        <v>5</v>
      </c>
      <c r="D324">
        <v>5</v>
      </c>
      <c r="E324">
        <v>9</v>
      </c>
      <c r="F324">
        <v>-9</v>
      </c>
      <c r="G324">
        <v>3</v>
      </c>
      <c r="H324">
        <v>7</v>
      </c>
      <c r="I324">
        <v>9</v>
      </c>
      <c r="J324">
        <v>-13</v>
      </c>
      <c r="K324">
        <v>36</v>
      </c>
    </row>
    <row r="325" spans="1:11" x14ac:dyDescent="0.25">
      <c r="A325" t="s">
        <v>50</v>
      </c>
      <c r="B325">
        <v>2008</v>
      </c>
      <c r="C325">
        <v>8</v>
      </c>
      <c r="D325">
        <v>2</v>
      </c>
      <c r="E325">
        <v>9</v>
      </c>
      <c r="F325">
        <v>-6</v>
      </c>
      <c r="G325">
        <v>2</v>
      </c>
      <c r="H325">
        <v>4</v>
      </c>
      <c r="I325">
        <v>13</v>
      </c>
      <c r="J325">
        <v>-19</v>
      </c>
      <c r="K325">
        <v>36</v>
      </c>
    </row>
    <row r="326" spans="1:11" x14ac:dyDescent="0.25">
      <c r="A326" t="s">
        <v>45</v>
      </c>
      <c r="B326">
        <v>2008</v>
      </c>
      <c r="C326">
        <v>6</v>
      </c>
      <c r="D326">
        <v>8</v>
      </c>
      <c r="E326">
        <v>5</v>
      </c>
      <c r="F326">
        <v>7</v>
      </c>
      <c r="G326">
        <v>2</v>
      </c>
      <c r="H326">
        <v>3</v>
      </c>
      <c r="I326">
        <v>14</v>
      </c>
      <c r="J326">
        <v>-23</v>
      </c>
      <c r="K326">
        <v>35</v>
      </c>
    </row>
    <row r="327" spans="1:11" x14ac:dyDescent="0.25">
      <c r="A327" t="s">
        <v>38</v>
      </c>
      <c r="B327">
        <v>2008</v>
      </c>
      <c r="C327">
        <v>1</v>
      </c>
      <c r="D327">
        <v>5</v>
      </c>
      <c r="E327">
        <v>13</v>
      </c>
      <c r="F327">
        <v>-31</v>
      </c>
      <c r="G327">
        <v>0</v>
      </c>
      <c r="H327">
        <v>3</v>
      </c>
      <c r="I327">
        <v>16</v>
      </c>
      <c r="J327">
        <v>-38</v>
      </c>
      <c r="K327">
        <v>11</v>
      </c>
    </row>
    <row r="328" spans="1:11" x14ac:dyDescent="0.25">
      <c r="A328" t="s">
        <v>11</v>
      </c>
      <c r="B328">
        <v>2009</v>
      </c>
      <c r="C328">
        <v>16</v>
      </c>
      <c r="D328">
        <v>2</v>
      </c>
      <c r="E328">
        <v>1</v>
      </c>
      <c r="F328">
        <v>30</v>
      </c>
      <c r="G328">
        <v>12</v>
      </c>
      <c r="H328">
        <v>4</v>
      </c>
      <c r="I328">
        <v>3</v>
      </c>
      <c r="J328">
        <v>14</v>
      </c>
      <c r="K328">
        <v>90</v>
      </c>
    </row>
    <row r="329" spans="1:11" x14ac:dyDescent="0.25">
      <c r="A329" t="s">
        <v>17</v>
      </c>
      <c r="B329">
        <v>2009</v>
      </c>
      <c r="C329">
        <v>12</v>
      </c>
      <c r="D329">
        <v>7</v>
      </c>
      <c r="E329">
        <v>0</v>
      </c>
      <c r="F329">
        <v>28</v>
      </c>
      <c r="G329">
        <v>13</v>
      </c>
      <c r="H329">
        <v>4</v>
      </c>
      <c r="I329">
        <v>2</v>
      </c>
      <c r="J329">
        <v>22</v>
      </c>
      <c r="K329">
        <v>86</v>
      </c>
    </row>
    <row r="330" spans="1:11" x14ac:dyDescent="0.25">
      <c r="A330" t="s">
        <v>21</v>
      </c>
      <c r="B330">
        <v>2009</v>
      </c>
      <c r="C330">
        <v>11</v>
      </c>
      <c r="D330">
        <v>6</v>
      </c>
      <c r="E330">
        <v>2</v>
      </c>
      <c r="F330">
        <v>21</v>
      </c>
      <c r="G330">
        <v>14</v>
      </c>
      <c r="H330">
        <v>2</v>
      </c>
      <c r="I330">
        <v>3</v>
      </c>
      <c r="J330">
        <v>23</v>
      </c>
      <c r="K330">
        <v>83</v>
      </c>
    </row>
    <row r="331" spans="1:11" x14ac:dyDescent="0.25">
      <c r="A331" t="s">
        <v>20</v>
      </c>
      <c r="B331">
        <v>2009</v>
      </c>
      <c r="C331">
        <v>11</v>
      </c>
      <c r="D331">
        <v>5</v>
      </c>
      <c r="E331">
        <v>3</v>
      </c>
      <c r="F331">
        <v>15</v>
      </c>
      <c r="G331">
        <v>9</v>
      </c>
      <c r="H331">
        <v>7</v>
      </c>
      <c r="I331">
        <v>3</v>
      </c>
      <c r="J331">
        <v>16</v>
      </c>
      <c r="K331">
        <v>72</v>
      </c>
    </row>
    <row r="332" spans="1:11" x14ac:dyDescent="0.25">
      <c r="A332" t="s">
        <v>23</v>
      </c>
      <c r="B332">
        <v>2009</v>
      </c>
      <c r="C332">
        <v>8</v>
      </c>
      <c r="D332">
        <v>6</v>
      </c>
      <c r="E332">
        <v>5</v>
      </c>
      <c r="F332">
        <v>11</v>
      </c>
      <c r="G332">
        <v>9</v>
      </c>
      <c r="H332">
        <v>6</v>
      </c>
      <c r="I332">
        <v>4</v>
      </c>
      <c r="J332">
        <v>7</v>
      </c>
      <c r="K332">
        <v>63</v>
      </c>
    </row>
    <row r="333" spans="1:11" x14ac:dyDescent="0.25">
      <c r="A333" t="s">
        <v>12</v>
      </c>
      <c r="B333">
        <v>2009</v>
      </c>
      <c r="C333">
        <v>7</v>
      </c>
      <c r="D333">
        <v>9</v>
      </c>
      <c r="E333">
        <v>3</v>
      </c>
      <c r="F333">
        <v>6</v>
      </c>
      <c r="G333">
        <v>10</v>
      </c>
      <c r="H333">
        <v>2</v>
      </c>
      <c r="I333">
        <v>7</v>
      </c>
      <c r="J333">
        <v>0</v>
      </c>
      <c r="K333">
        <v>62</v>
      </c>
    </row>
    <row r="334" spans="1:11" x14ac:dyDescent="0.25">
      <c r="A334" t="s">
        <v>44</v>
      </c>
      <c r="B334">
        <v>2009</v>
      </c>
      <c r="C334">
        <v>11</v>
      </c>
      <c r="D334">
        <v>3</v>
      </c>
      <c r="E334">
        <v>5</v>
      </c>
      <c r="F334">
        <v>12</v>
      </c>
      <c r="G334">
        <v>3</v>
      </c>
      <c r="H334">
        <v>8</v>
      </c>
      <c r="I334">
        <v>8</v>
      </c>
      <c r="J334">
        <v>-7</v>
      </c>
      <c r="K334">
        <v>53</v>
      </c>
    </row>
    <row r="335" spans="1:11" x14ac:dyDescent="0.25">
      <c r="A335" t="s">
        <v>16</v>
      </c>
      <c r="B335">
        <v>2009</v>
      </c>
      <c r="C335">
        <v>10</v>
      </c>
      <c r="D335">
        <v>5</v>
      </c>
      <c r="E335">
        <v>4</v>
      </c>
      <c r="F335">
        <v>11</v>
      </c>
      <c r="G335">
        <v>4</v>
      </c>
      <c r="H335">
        <v>4</v>
      </c>
      <c r="I335">
        <v>11</v>
      </c>
      <c r="J335">
        <v>-11</v>
      </c>
      <c r="K335">
        <v>51</v>
      </c>
    </row>
    <row r="336" spans="1:11" x14ac:dyDescent="0.25">
      <c r="A336" t="s">
        <v>34</v>
      </c>
      <c r="B336">
        <v>2009</v>
      </c>
      <c r="C336">
        <v>9</v>
      </c>
      <c r="D336">
        <v>2</v>
      </c>
      <c r="E336">
        <v>8</v>
      </c>
      <c r="F336">
        <v>1</v>
      </c>
      <c r="G336">
        <v>5</v>
      </c>
      <c r="H336">
        <v>7</v>
      </c>
      <c r="I336">
        <v>7</v>
      </c>
      <c r="J336">
        <v>-4</v>
      </c>
      <c r="K336">
        <v>51</v>
      </c>
    </row>
    <row r="337" spans="1:11" x14ac:dyDescent="0.25">
      <c r="A337" t="s">
        <v>19</v>
      </c>
      <c r="B337">
        <v>2009</v>
      </c>
      <c r="C337">
        <v>13</v>
      </c>
      <c r="D337">
        <v>0</v>
      </c>
      <c r="E337">
        <v>6</v>
      </c>
      <c r="F337">
        <v>22</v>
      </c>
      <c r="G337">
        <v>2</v>
      </c>
      <c r="H337">
        <v>5</v>
      </c>
      <c r="I337">
        <v>12</v>
      </c>
      <c r="J337">
        <v>-14</v>
      </c>
      <c r="K337">
        <v>50</v>
      </c>
    </row>
    <row r="338" spans="1:11" x14ac:dyDescent="0.25">
      <c r="A338" t="s">
        <v>51</v>
      </c>
      <c r="B338">
        <v>2009</v>
      </c>
      <c r="C338">
        <v>10</v>
      </c>
      <c r="D338">
        <v>5</v>
      </c>
      <c r="E338">
        <v>4</v>
      </c>
      <c r="F338">
        <v>7</v>
      </c>
      <c r="G338">
        <v>2</v>
      </c>
      <c r="H338">
        <v>4</v>
      </c>
      <c r="I338">
        <v>13</v>
      </c>
      <c r="J338">
        <v>-24</v>
      </c>
      <c r="K338">
        <v>45</v>
      </c>
    </row>
    <row r="339" spans="1:11" x14ac:dyDescent="0.25">
      <c r="A339" t="s">
        <v>49</v>
      </c>
      <c r="B339">
        <v>2009</v>
      </c>
      <c r="C339">
        <v>8</v>
      </c>
      <c r="D339">
        <v>5</v>
      </c>
      <c r="E339">
        <v>6</v>
      </c>
      <c r="F339">
        <v>-1</v>
      </c>
      <c r="G339">
        <v>4</v>
      </c>
      <c r="H339">
        <v>4</v>
      </c>
      <c r="I339">
        <v>11</v>
      </c>
      <c r="J339">
        <v>-10</v>
      </c>
      <c r="K339">
        <v>45</v>
      </c>
    </row>
    <row r="340" spans="1:11" x14ac:dyDescent="0.25">
      <c r="A340" t="s">
        <v>37</v>
      </c>
      <c r="B340">
        <v>2009</v>
      </c>
      <c r="C340">
        <v>7</v>
      </c>
      <c r="D340">
        <v>5</v>
      </c>
      <c r="E340">
        <v>7</v>
      </c>
      <c r="F340">
        <v>0</v>
      </c>
      <c r="G340">
        <v>4</v>
      </c>
      <c r="H340">
        <v>3</v>
      </c>
      <c r="I340">
        <v>12</v>
      </c>
      <c r="J340">
        <v>-12</v>
      </c>
      <c r="K340">
        <v>41</v>
      </c>
    </row>
    <row r="341" spans="1:11" x14ac:dyDescent="0.25">
      <c r="A341" t="s">
        <v>47</v>
      </c>
      <c r="B341">
        <v>2009</v>
      </c>
      <c r="C341">
        <v>8</v>
      </c>
      <c r="D341">
        <v>3</v>
      </c>
      <c r="E341">
        <v>8</v>
      </c>
      <c r="F341">
        <v>-3</v>
      </c>
      <c r="G341">
        <v>2</v>
      </c>
      <c r="H341">
        <v>8</v>
      </c>
      <c r="I341">
        <v>9</v>
      </c>
      <c r="J341">
        <v>-16</v>
      </c>
      <c r="K341">
        <v>41</v>
      </c>
    </row>
    <row r="342" spans="1:11" x14ac:dyDescent="0.25">
      <c r="A342" t="s">
        <v>14</v>
      </c>
      <c r="B342">
        <v>2009</v>
      </c>
      <c r="C342">
        <v>6</v>
      </c>
      <c r="D342">
        <v>7</v>
      </c>
      <c r="E342">
        <v>6</v>
      </c>
      <c r="F342">
        <v>-1</v>
      </c>
      <c r="G342">
        <v>4</v>
      </c>
      <c r="H342">
        <v>4</v>
      </c>
      <c r="I342">
        <v>11</v>
      </c>
      <c r="J342">
        <v>-19</v>
      </c>
      <c r="K342">
        <v>41</v>
      </c>
    </row>
    <row r="343" spans="1:11" x14ac:dyDescent="0.25">
      <c r="A343" t="s">
        <v>39</v>
      </c>
      <c r="B343">
        <v>2009</v>
      </c>
      <c r="C343">
        <v>6</v>
      </c>
      <c r="D343">
        <v>3</v>
      </c>
      <c r="E343">
        <v>10</v>
      </c>
      <c r="F343">
        <v>-4</v>
      </c>
      <c r="G343">
        <v>3</v>
      </c>
      <c r="H343">
        <v>6</v>
      </c>
      <c r="I343">
        <v>10</v>
      </c>
      <c r="J343">
        <v>-16</v>
      </c>
      <c r="K343">
        <v>36</v>
      </c>
    </row>
    <row r="344" spans="1:11" x14ac:dyDescent="0.25">
      <c r="A344" t="s">
        <v>52</v>
      </c>
      <c r="B344">
        <v>2009</v>
      </c>
      <c r="C344">
        <v>3</v>
      </c>
      <c r="D344">
        <v>5</v>
      </c>
      <c r="E344">
        <v>11</v>
      </c>
      <c r="F344">
        <v>-18</v>
      </c>
      <c r="G344">
        <v>5</v>
      </c>
      <c r="H344">
        <v>6</v>
      </c>
      <c r="I344">
        <v>8</v>
      </c>
      <c r="J344">
        <v>-7</v>
      </c>
      <c r="K344">
        <v>35</v>
      </c>
    </row>
    <row r="345" spans="1:11" x14ac:dyDescent="0.25">
      <c r="A345" t="s">
        <v>33</v>
      </c>
      <c r="B345">
        <v>2009</v>
      </c>
      <c r="C345">
        <v>5</v>
      </c>
      <c r="D345">
        <v>7</v>
      </c>
      <c r="E345">
        <v>7</v>
      </c>
      <c r="F345">
        <v>-5</v>
      </c>
      <c r="G345">
        <v>2</v>
      </c>
      <c r="H345">
        <v>6</v>
      </c>
      <c r="I345">
        <v>11</v>
      </c>
      <c r="J345">
        <v>-14</v>
      </c>
      <c r="K345">
        <v>34</v>
      </c>
    </row>
    <row r="346" spans="1:11" x14ac:dyDescent="0.25">
      <c r="A346" t="s">
        <v>46</v>
      </c>
      <c r="B346">
        <v>2009</v>
      </c>
      <c r="C346">
        <v>7</v>
      </c>
      <c r="D346">
        <v>3</v>
      </c>
      <c r="E346">
        <v>9</v>
      </c>
      <c r="F346">
        <v>-7</v>
      </c>
      <c r="G346">
        <v>1</v>
      </c>
      <c r="H346">
        <v>5</v>
      </c>
      <c r="I346">
        <v>13</v>
      </c>
      <c r="J346">
        <v>-24</v>
      </c>
      <c r="K346">
        <v>32</v>
      </c>
    </row>
    <row r="347" spans="1:11" x14ac:dyDescent="0.25">
      <c r="A347" t="s">
        <v>31</v>
      </c>
      <c r="B347">
        <v>2009</v>
      </c>
      <c r="C347">
        <v>5</v>
      </c>
      <c r="D347">
        <v>9</v>
      </c>
      <c r="E347">
        <v>5</v>
      </c>
      <c r="F347">
        <v>-3</v>
      </c>
      <c r="G347">
        <v>2</v>
      </c>
      <c r="H347">
        <v>2</v>
      </c>
      <c r="I347">
        <v>15</v>
      </c>
      <c r="J347">
        <v>-26</v>
      </c>
      <c r="K347">
        <v>32</v>
      </c>
    </row>
    <row r="348" spans="1:11" x14ac:dyDescent="0.25">
      <c r="A348" t="s">
        <v>21</v>
      </c>
      <c r="B348">
        <v>2010</v>
      </c>
      <c r="C348">
        <v>17</v>
      </c>
      <c r="D348">
        <v>1</v>
      </c>
      <c r="E348">
        <v>1</v>
      </c>
      <c r="F348">
        <v>54</v>
      </c>
      <c r="G348">
        <v>10</v>
      </c>
      <c r="H348">
        <v>4</v>
      </c>
      <c r="I348">
        <v>5</v>
      </c>
      <c r="J348">
        <v>17</v>
      </c>
      <c r="K348">
        <v>86</v>
      </c>
    </row>
    <row r="349" spans="1:11" x14ac:dyDescent="0.25">
      <c r="A349" t="s">
        <v>11</v>
      </c>
      <c r="B349">
        <v>2010</v>
      </c>
      <c r="C349">
        <v>16</v>
      </c>
      <c r="D349">
        <v>1</v>
      </c>
      <c r="E349">
        <v>2</v>
      </c>
      <c r="F349">
        <v>40</v>
      </c>
      <c r="G349">
        <v>11</v>
      </c>
      <c r="H349">
        <v>3</v>
      </c>
      <c r="I349">
        <v>5</v>
      </c>
      <c r="J349">
        <v>18</v>
      </c>
      <c r="K349">
        <v>85</v>
      </c>
    </row>
    <row r="350" spans="1:11" x14ac:dyDescent="0.25">
      <c r="A350" t="s">
        <v>20</v>
      </c>
      <c r="B350">
        <v>2010</v>
      </c>
      <c r="C350">
        <v>15</v>
      </c>
      <c r="D350">
        <v>2</v>
      </c>
      <c r="E350">
        <v>2</v>
      </c>
      <c r="F350">
        <v>33</v>
      </c>
      <c r="G350">
        <v>8</v>
      </c>
      <c r="H350">
        <v>4</v>
      </c>
      <c r="I350">
        <v>7</v>
      </c>
      <c r="J350">
        <v>9</v>
      </c>
      <c r="K350">
        <v>75</v>
      </c>
    </row>
    <row r="351" spans="1:11" x14ac:dyDescent="0.25">
      <c r="A351" t="s">
        <v>16</v>
      </c>
      <c r="B351">
        <v>2010</v>
      </c>
      <c r="C351">
        <v>14</v>
      </c>
      <c r="D351">
        <v>2</v>
      </c>
      <c r="E351">
        <v>3</v>
      </c>
      <c r="F351">
        <v>28</v>
      </c>
      <c r="G351">
        <v>7</v>
      </c>
      <c r="H351">
        <v>5</v>
      </c>
      <c r="I351">
        <v>7</v>
      </c>
      <c r="J351">
        <v>-2</v>
      </c>
      <c r="K351">
        <v>70</v>
      </c>
    </row>
    <row r="352" spans="1:11" x14ac:dyDescent="0.25">
      <c r="A352" t="s">
        <v>19</v>
      </c>
      <c r="B352">
        <v>2010</v>
      </c>
      <c r="C352">
        <v>12</v>
      </c>
      <c r="D352">
        <v>4</v>
      </c>
      <c r="E352">
        <v>3</v>
      </c>
      <c r="F352">
        <v>21</v>
      </c>
      <c r="G352">
        <v>6</v>
      </c>
      <c r="H352">
        <v>9</v>
      </c>
      <c r="I352">
        <v>4</v>
      </c>
      <c r="J352">
        <v>7</v>
      </c>
      <c r="K352">
        <v>67</v>
      </c>
    </row>
    <row r="353" spans="1:11" x14ac:dyDescent="0.25">
      <c r="A353" t="s">
        <v>12</v>
      </c>
      <c r="B353">
        <v>2010</v>
      </c>
      <c r="C353">
        <v>8</v>
      </c>
      <c r="D353">
        <v>8</v>
      </c>
      <c r="E353">
        <v>3</v>
      </c>
      <c r="F353">
        <v>13</v>
      </c>
      <c r="G353">
        <v>9</v>
      </c>
      <c r="H353">
        <v>5</v>
      </c>
      <c r="I353">
        <v>5</v>
      </c>
      <c r="J353">
        <v>0</v>
      </c>
      <c r="K353">
        <v>64</v>
      </c>
    </row>
    <row r="354" spans="1:11" x14ac:dyDescent="0.25">
      <c r="A354" t="s">
        <v>17</v>
      </c>
      <c r="B354">
        <v>2010</v>
      </c>
      <c r="C354">
        <v>13</v>
      </c>
      <c r="D354">
        <v>3</v>
      </c>
      <c r="E354">
        <v>3</v>
      </c>
      <c r="F354">
        <v>28</v>
      </c>
      <c r="G354">
        <v>5</v>
      </c>
      <c r="H354">
        <v>6</v>
      </c>
      <c r="I354">
        <v>8</v>
      </c>
      <c r="J354">
        <v>-2</v>
      </c>
      <c r="K354">
        <v>63</v>
      </c>
    </row>
    <row r="355" spans="1:11" x14ac:dyDescent="0.25">
      <c r="A355" t="s">
        <v>23</v>
      </c>
      <c r="B355">
        <v>2010</v>
      </c>
      <c r="C355">
        <v>11</v>
      </c>
      <c r="D355">
        <v>6</v>
      </c>
      <c r="E355">
        <v>2</v>
      </c>
      <c r="F355">
        <v>14</v>
      </c>
      <c r="G355">
        <v>5</v>
      </c>
      <c r="H355">
        <v>7</v>
      </c>
      <c r="I355">
        <v>7</v>
      </c>
      <c r="J355">
        <v>-3</v>
      </c>
      <c r="K355">
        <v>61</v>
      </c>
    </row>
    <row r="356" spans="1:11" x14ac:dyDescent="0.25">
      <c r="A356" t="s">
        <v>14</v>
      </c>
      <c r="B356">
        <v>2010</v>
      </c>
      <c r="C356">
        <v>10</v>
      </c>
      <c r="D356">
        <v>6</v>
      </c>
      <c r="E356">
        <v>3</v>
      </c>
      <c r="F356">
        <v>10</v>
      </c>
      <c r="G356">
        <v>3</v>
      </c>
      <c r="H356">
        <v>5</v>
      </c>
      <c r="I356">
        <v>11</v>
      </c>
      <c r="J356">
        <v>-24</v>
      </c>
      <c r="K356">
        <v>50</v>
      </c>
    </row>
    <row r="357" spans="1:11" x14ac:dyDescent="0.25">
      <c r="A357" t="s">
        <v>45</v>
      </c>
      <c r="B357">
        <v>2010</v>
      </c>
      <c r="C357">
        <v>8</v>
      </c>
      <c r="D357">
        <v>9</v>
      </c>
      <c r="E357">
        <v>2</v>
      </c>
      <c r="F357">
        <v>6</v>
      </c>
      <c r="G357">
        <v>5</v>
      </c>
      <c r="H357">
        <v>2</v>
      </c>
      <c r="I357">
        <v>12</v>
      </c>
      <c r="J357">
        <v>-15</v>
      </c>
      <c r="K357">
        <v>50</v>
      </c>
    </row>
    <row r="358" spans="1:11" x14ac:dyDescent="0.25">
      <c r="A358" t="s">
        <v>51</v>
      </c>
      <c r="B358">
        <v>2010</v>
      </c>
      <c r="C358">
        <v>7</v>
      </c>
      <c r="D358">
        <v>6</v>
      </c>
      <c r="E358">
        <v>6</v>
      </c>
      <c r="F358">
        <v>3</v>
      </c>
      <c r="G358">
        <v>4</v>
      </c>
      <c r="H358">
        <v>8</v>
      </c>
      <c r="I358">
        <v>7</v>
      </c>
      <c r="J358">
        <v>-17</v>
      </c>
      <c r="K358">
        <v>47</v>
      </c>
    </row>
    <row r="359" spans="1:11" x14ac:dyDescent="0.25">
      <c r="A359" t="s">
        <v>44</v>
      </c>
      <c r="B359">
        <v>2010</v>
      </c>
      <c r="C359">
        <v>11</v>
      </c>
      <c r="D359">
        <v>3</v>
      </c>
      <c r="E359">
        <v>5</v>
      </c>
      <c r="F359">
        <v>12</v>
      </c>
      <c r="G359">
        <v>1</v>
      </c>
      <c r="H359">
        <v>7</v>
      </c>
      <c r="I359">
        <v>11</v>
      </c>
      <c r="J359">
        <v>-19</v>
      </c>
      <c r="K359">
        <v>46</v>
      </c>
    </row>
    <row r="360" spans="1:11" x14ac:dyDescent="0.25">
      <c r="A360" t="s">
        <v>39</v>
      </c>
      <c r="B360">
        <v>2010</v>
      </c>
      <c r="C360">
        <v>9</v>
      </c>
      <c r="D360">
        <v>7</v>
      </c>
      <c r="E360">
        <v>3</v>
      </c>
      <c r="F360">
        <v>13</v>
      </c>
      <c r="G360">
        <v>2</v>
      </c>
      <c r="H360">
        <v>4</v>
      </c>
      <c r="I360">
        <v>13</v>
      </c>
      <c r="J360">
        <v>-21</v>
      </c>
      <c r="K360">
        <v>44</v>
      </c>
    </row>
    <row r="361" spans="1:11" x14ac:dyDescent="0.25">
      <c r="A361" t="s">
        <v>37</v>
      </c>
      <c r="B361">
        <v>2010</v>
      </c>
      <c r="C361">
        <v>6</v>
      </c>
      <c r="D361">
        <v>6</v>
      </c>
      <c r="E361">
        <v>7</v>
      </c>
      <c r="F361">
        <v>-5</v>
      </c>
      <c r="G361">
        <v>4</v>
      </c>
      <c r="H361">
        <v>3</v>
      </c>
      <c r="I361">
        <v>12</v>
      </c>
      <c r="J361">
        <v>-20</v>
      </c>
      <c r="K361">
        <v>39</v>
      </c>
    </row>
    <row r="362" spans="1:11" x14ac:dyDescent="0.25">
      <c r="A362" t="s">
        <v>48</v>
      </c>
      <c r="B362">
        <v>2010</v>
      </c>
      <c r="C362">
        <v>5</v>
      </c>
      <c r="D362">
        <v>6</v>
      </c>
      <c r="E362">
        <v>8</v>
      </c>
      <c r="F362">
        <v>-9</v>
      </c>
      <c r="G362">
        <v>4</v>
      </c>
      <c r="H362">
        <v>5</v>
      </c>
      <c r="I362">
        <v>10</v>
      </c>
      <c r="J362">
        <v>-15</v>
      </c>
      <c r="K362">
        <v>38</v>
      </c>
    </row>
    <row r="363" spans="1:11" x14ac:dyDescent="0.25">
      <c r="A363" t="s">
        <v>49</v>
      </c>
      <c r="B363">
        <v>2010</v>
      </c>
      <c r="C363">
        <v>6</v>
      </c>
      <c r="D363">
        <v>7</v>
      </c>
      <c r="E363">
        <v>6</v>
      </c>
      <c r="F363">
        <v>-5</v>
      </c>
      <c r="G363">
        <v>3</v>
      </c>
      <c r="H363">
        <v>2</v>
      </c>
      <c r="I363">
        <v>14</v>
      </c>
      <c r="J363">
        <v>-37</v>
      </c>
      <c r="K363">
        <v>36</v>
      </c>
    </row>
    <row r="364" spans="1:11" x14ac:dyDescent="0.25">
      <c r="A364" t="s">
        <v>34</v>
      </c>
      <c r="B364">
        <v>2010</v>
      </c>
      <c r="C364">
        <v>7</v>
      </c>
      <c r="D364">
        <v>5</v>
      </c>
      <c r="E364">
        <v>7</v>
      </c>
      <c r="F364">
        <v>1</v>
      </c>
      <c r="G364">
        <v>1</v>
      </c>
      <c r="H364">
        <v>6</v>
      </c>
      <c r="I364">
        <v>12</v>
      </c>
      <c r="J364">
        <v>-20</v>
      </c>
      <c r="K364">
        <v>35</v>
      </c>
    </row>
    <row r="365" spans="1:11" x14ac:dyDescent="0.25">
      <c r="A365" t="s">
        <v>53</v>
      </c>
      <c r="B365">
        <v>2010</v>
      </c>
      <c r="C365">
        <v>7</v>
      </c>
      <c r="D365">
        <v>5</v>
      </c>
      <c r="E365">
        <v>7</v>
      </c>
      <c r="F365">
        <v>-5</v>
      </c>
      <c r="G365">
        <v>1</v>
      </c>
      <c r="H365">
        <v>1</v>
      </c>
      <c r="I365">
        <v>17</v>
      </c>
      <c r="J365">
        <v>-35</v>
      </c>
      <c r="K365">
        <v>30</v>
      </c>
    </row>
    <row r="366" spans="1:11" x14ac:dyDescent="0.25">
      <c r="A366" t="s">
        <v>52</v>
      </c>
      <c r="B366">
        <v>2010</v>
      </c>
      <c r="C366">
        <v>6</v>
      </c>
      <c r="D366">
        <v>6</v>
      </c>
      <c r="E366">
        <v>7</v>
      </c>
      <c r="F366">
        <v>-7</v>
      </c>
      <c r="G366">
        <v>0</v>
      </c>
      <c r="H366">
        <v>6</v>
      </c>
      <c r="I366">
        <v>13</v>
      </c>
      <c r="J366">
        <v>-34</v>
      </c>
      <c r="K366">
        <v>30</v>
      </c>
    </row>
    <row r="367" spans="1:11" x14ac:dyDescent="0.25">
      <c r="A367" t="s">
        <v>47</v>
      </c>
      <c r="B367">
        <v>2010</v>
      </c>
      <c r="C367">
        <v>5</v>
      </c>
      <c r="D367">
        <v>3</v>
      </c>
      <c r="E367">
        <v>11</v>
      </c>
      <c r="F367">
        <v>-8</v>
      </c>
      <c r="G367">
        <v>2</v>
      </c>
      <c r="H367">
        <v>4</v>
      </c>
      <c r="I367">
        <v>13</v>
      </c>
      <c r="J367">
        <v>-24</v>
      </c>
      <c r="K367">
        <v>28</v>
      </c>
    </row>
    <row r="368" spans="1:11" x14ac:dyDescent="0.25">
      <c r="A368" t="s">
        <v>11</v>
      </c>
      <c r="B368">
        <v>2011</v>
      </c>
      <c r="C368">
        <v>18</v>
      </c>
      <c r="D368">
        <v>1</v>
      </c>
      <c r="E368">
        <v>0</v>
      </c>
      <c r="F368">
        <v>37</v>
      </c>
      <c r="G368">
        <v>5</v>
      </c>
      <c r="H368">
        <v>10</v>
      </c>
      <c r="I368">
        <v>4</v>
      </c>
      <c r="J368">
        <v>4</v>
      </c>
      <c r="K368">
        <v>80</v>
      </c>
    </row>
    <row r="369" spans="1:11" x14ac:dyDescent="0.25">
      <c r="A369" t="s">
        <v>21</v>
      </c>
      <c r="B369">
        <v>2011</v>
      </c>
      <c r="C369">
        <v>14</v>
      </c>
      <c r="D369">
        <v>3</v>
      </c>
      <c r="E369">
        <v>2</v>
      </c>
      <c r="F369">
        <v>26</v>
      </c>
      <c r="G369">
        <v>7</v>
      </c>
      <c r="H369">
        <v>5</v>
      </c>
      <c r="I369">
        <v>7</v>
      </c>
      <c r="J369">
        <v>10</v>
      </c>
      <c r="K369">
        <v>71</v>
      </c>
    </row>
    <row r="370" spans="1:11" x14ac:dyDescent="0.25">
      <c r="A370" t="s">
        <v>19</v>
      </c>
      <c r="B370">
        <v>2011</v>
      </c>
      <c r="C370">
        <v>13</v>
      </c>
      <c r="D370">
        <v>4</v>
      </c>
      <c r="E370">
        <v>2</v>
      </c>
      <c r="F370">
        <v>22</v>
      </c>
      <c r="G370">
        <v>8</v>
      </c>
      <c r="H370">
        <v>4</v>
      </c>
      <c r="I370">
        <v>7</v>
      </c>
      <c r="J370">
        <v>5</v>
      </c>
      <c r="K370">
        <v>71</v>
      </c>
    </row>
    <row r="371" spans="1:11" x14ac:dyDescent="0.25">
      <c r="A371" t="s">
        <v>20</v>
      </c>
      <c r="B371">
        <v>2011</v>
      </c>
      <c r="C371">
        <v>11</v>
      </c>
      <c r="D371">
        <v>4</v>
      </c>
      <c r="E371">
        <v>4</v>
      </c>
      <c r="F371">
        <v>18</v>
      </c>
      <c r="G371">
        <v>8</v>
      </c>
      <c r="H371">
        <v>7</v>
      </c>
      <c r="I371">
        <v>4</v>
      </c>
      <c r="J371">
        <v>11</v>
      </c>
      <c r="K371">
        <v>68</v>
      </c>
    </row>
    <row r="372" spans="1:11" x14ac:dyDescent="0.25">
      <c r="A372" t="s">
        <v>16</v>
      </c>
      <c r="B372">
        <v>2011</v>
      </c>
      <c r="C372">
        <v>9</v>
      </c>
      <c r="D372">
        <v>9</v>
      </c>
      <c r="E372">
        <v>1</v>
      </c>
      <c r="F372">
        <v>11</v>
      </c>
      <c r="G372">
        <v>7</v>
      </c>
      <c r="H372">
        <v>5</v>
      </c>
      <c r="I372">
        <v>7</v>
      </c>
      <c r="J372">
        <v>-2</v>
      </c>
      <c r="K372">
        <v>62</v>
      </c>
    </row>
    <row r="373" spans="1:11" x14ac:dyDescent="0.25">
      <c r="A373" t="s">
        <v>17</v>
      </c>
      <c r="B373">
        <v>2011</v>
      </c>
      <c r="C373">
        <v>12</v>
      </c>
      <c r="D373">
        <v>4</v>
      </c>
      <c r="E373">
        <v>3</v>
      </c>
      <c r="F373">
        <v>23</v>
      </c>
      <c r="G373">
        <v>5</v>
      </c>
      <c r="H373">
        <v>3</v>
      </c>
      <c r="I373">
        <v>11</v>
      </c>
      <c r="J373">
        <v>-8</v>
      </c>
      <c r="K373">
        <v>58</v>
      </c>
    </row>
    <row r="374" spans="1:11" x14ac:dyDescent="0.25">
      <c r="A374" t="s">
        <v>23</v>
      </c>
      <c r="B374">
        <v>2011</v>
      </c>
      <c r="C374">
        <v>9</v>
      </c>
      <c r="D374">
        <v>7</v>
      </c>
      <c r="E374">
        <v>3</v>
      </c>
      <c r="F374">
        <v>8</v>
      </c>
      <c r="G374">
        <v>4</v>
      </c>
      <c r="H374">
        <v>8</v>
      </c>
      <c r="I374">
        <v>7</v>
      </c>
      <c r="J374">
        <v>-2</v>
      </c>
      <c r="K374">
        <v>54</v>
      </c>
    </row>
    <row r="375" spans="1:11" x14ac:dyDescent="0.25">
      <c r="A375" t="s">
        <v>44</v>
      </c>
      <c r="B375">
        <v>2011</v>
      </c>
      <c r="C375">
        <v>8</v>
      </c>
      <c r="D375">
        <v>7</v>
      </c>
      <c r="E375">
        <v>4</v>
      </c>
      <c r="F375">
        <v>7</v>
      </c>
      <c r="G375">
        <v>3</v>
      </c>
      <c r="H375">
        <v>9</v>
      </c>
      <c r="I375">
        <v>7</v>
      </c>
      <c r="J375">
        <v>-1</v>
      </c>
      <c r="K375">
        <v>49</v>
      </c>
    </row>
    <row r="376" spans="1:11" x14ac:dyDescent="0.25">
      <c r="A376" t="s">
        <v>12</v>
      </c>
      <c r="B376">
        <v>2011</v>
      </c>
      <c r="C376">
        <v>8</v>
      </c>
      <c r="D376">
        <v>7</v>
      </c>
      <c r="E376">
        <v>4</v>
      </c>
      <c r="F376">
        <v>7</v>
      </c>
      <c r="G376">
        <v>4</v>
      </c>
      <c r="H376">
        <v>5</v>
      </c>
      <c r="I376">
        <v>10</v>
      </c>
      <c r="J376">
        <v>-18</v>
      </c>
      <c r="K376">
        <v>48</v>
      </c>
    </row>
    <row r="377" spans="1:11" x14ac:dyDescent="0.25">
      <c r="A377" t="s">
        <v>39</v>
      </c>
      <c r="B377">
        <v>2011</v>
      </c>
      <c r="C377">
        <v>7</v>
      </c>
      <c r="D377">
        <v>5</v>
      </c>
      <c r="E377">
        <v>7</v>
      </c>
      <c r="F377">
        <v>-2</v>
      </c>
      <c r="G377">
        <v>5</v>
      </c>
      <c r="H377">
        <v>6</v>
      </c>
      <c r="I377">
        <v>8</v>
      </c>
      <c r="J377">
        <v>-9</v>
      </c>
      <c r="K377">
        <v>47</v>
      </c>
    </row>
    <row r="378" spans="1:11" x14ac:dyDescent="0.25">
      <c r="A378" t="s">
        <v>46</v>
      </c>
      <c r="B378">
        <v>2011</v>
      </c>
      <c r="C378">
        <v>8</v>
      </c>
      <c r="D378">
        <v>6</v>
      </c>
      <c r="E378">
        <v>5</v>
      </c>
      <c r="F378">
        <v>0</v>
      </c>
      <c r="G378">
        <v>4</v>
      </c>
      <c r="H378">
        <v>5</v>
      </c>
      <c r="I378">
        <v>10</v>
      </c>
      <c r="J378">
        <v>-15</v>
      </c>
      <c r="K378">
        <v>47</v>
      </c>
    </row>
    <row r="379" spans="1:11" x14ac:dyDescent="0.25">
      <c r="A379" t="s">
        <v>33</v>
      </c>
      <c r="B379">
        <v>2011</v>
      </c>
      <c r="C379">
        <v>6</v>
      </c>
      <c r="D379">
        <v>8</v>
      </c>
      <c r="E379">
        <v>5</v>
      </c>
      <c r="F379">
        <v>14</v>
      </c>
      <c r="G379">
        <v>5</v>
      </c>
      <c r="H379">
        <v>5</v>
      </c>
      <c r="I379">
        <v>9</v>
      </c>
      <c r="J379">
        <v>-15</v>
      </c>
      <c r="K379">
        <v>46</v>
      </c>
    </row>
    <row r="380" spans="1:11" x14ac:dyDescent="0.25">
      <c r="A380" t="s">
        <v>51</v>
      </c>
      <c r="B380">
        <v>2011</v>
      </c>
      <c r="C380">
        <v>10</v>
      </c>
      <c r="D380">
        <v>4</v>
      </c>
      <c r="E380">
        <v>5</v>
      </c>
      <c r="F380">
        <v>13</v>
      </c>
      <c r="G380">
        <v>3</v>
      </c>
      <c r="H380">
        <v>3</v>
      </c>
      <c r="I380">
        <v>13</v>
      </c>
      <c r="J380">
        <v>-15</v>
      </c>
      <c r="K380">
        <v>46</v>
      </c>
    </row>
    <row r="381" spans="1:11" x14ac:dyDescent="0.25">
      <c r="A381" t="s">
        <v>37</v>
      </c>
      <c r="B381">
        <v>2011</v>
      </c>
      <c r="C381">
        <v>10</v>
      </c>
      <c r="D381">
        <v>5</v>
      </c>
      <c r="E381">
        <v>4</v>
      </c>
      <c r="F381">
        <v>10</v>
      </c>
      <c r="G381">
        <v>2</v>
      </c>
      <c r="H381">
        <v>5</v>
      </c>
      <c r="I381">
        <v>12</v>
      </c>
      <c r="J381">
        <v>-14</v>
      </c>
      <c r="K381">
        <v>46</v>
      </c>
    </row>
    <row r="382" spans="1:11" x14ac:dyDescent="0.25">
      <c r="A382" t="s">
        <v>14</v>
      </c>
      <c r="B382">
        <v>2011</v>
      </c>
      <c r="C382">
        <v>7</v>
      </c>
      <c r="D382">
        <v>7</v>
      </c>
      <c r="E382">
        <v>5</v>
      </c>
      <c r="F382">
        <v>6</v>
      </c>
      <c r="G382">
        <v>4</v>
      </c>
      <c r="H382">
        <v>3</v>
      </c>
      <c r="I382">
        <v>12</v>
      </c>
      <c r="J382">
        <v>-19</v>
      </c>
      <c r="K382">
        <v>43</v>
      </c>
    </row>
    <row r="383" spans="1:11" x14ac:dyDescent="0.25">
      <c r="A383" t="s">
        <v>49</v>
      </c>
      <c r="B383">
        <v>2011</v>
      </c>
      <c r="C383">
        <v>5</v>
      </c>
      <c r="D383">
        <v>8</v>
      </c>
      <c r="E383">
        <v>6</v>
      </c>
      <c r="F383">
        <v>-12</v>
      </c>
      <c r="G383">
        <v>4</v>
      </c>
      <c r="H383">
        <v>7</v>
      </c>
      <c r="I383">
        <v>8</v>
      </c>
      <c r="J383">
        <v>-9</v>
      </c>
      <c r="K383">
        <v>42</v>
      </c>
    </row>
    <row r="384" spans="1:11" x14ac:dyDescent="0.25">
      <c r="A384" t="s">
        <v>48</v>
      </c>
      <c r="B384">
        <v>2011</v>
      </c>
      <c r="C384">
        <v>8</v>
      </c>
      <c r="D384">
        <v>4</v>
      </c>
      <c r="E384">
        <v>7</v>
      </c>
      <c r="F384">
        <v>0</v>
      </c>
      <c r="G384">
        <v>3</v>
      </c>
      <c r="H384">
        <v>3</v>
      </c>
      <c r="I384">
        <v>13</v>
      </c>
      <c r="J384">
        <v>-20</v>
      </c>
      <c r="K384">
        <v>40</v>
      </c>
    </row>
    <row r="385" spans="1:11" x14ac:dyDescent="0.25">
      <c r="A385" t="s">
        <v>45</v>
      </c>
      <c r="B385">
        <v>2011</v>
      </c>
      <c r="C385">
        <v>6</v>
      </c>
      <c r="D385">
        <v>8</v>
      </c>
      <c r="E385">
        <v>5</v>
      </c>
      <c r="F385">
        <v>-3</v>
      </c>
      <c r="G385">
        <v>2</v>
      </c>
      <c r="H385">
        <v>7</v>
      </c>
      <c r="I385">
        <v>10</v>
      </c>
      <c r="J385">
        <v>-18</v>
      </c>
      <c r="K385">
        <v>39</v>
      </c>
    </row>
    <row r="386" spans="1:11" x14ac:dyDescent="0.25">
      <c r="A386" t="s">
        <v>54</v>
      </c>
      <c r="B386">
        <v>2011</v>
      </c>
      <c r="C386">
        <v>5</v>
      </c>
      <c r="D386">
        <v>5</v>
      </c>
      <c r="E386">
        <v>9</v>
      </c>
      <c r="F386">
        <v>-7</v>
      </c>
      <c r="G386">
        <v>5</v>
      </c>
      <c r="H386">
        <v>4</v>
      </c>
      <c r="I386">
        <v>10</v>
      </c>
      <c r="J386">
        <v>-16</v>
      </c>
      <c r="K386">
        <v>39</v>
      </c>
    </row>
    <row r="387" spans="1:11" x14ac:dyDescent="0.25">
      <c r="A387" t="s">
        <v>34</v>
      </c>
      <c r="B387">
        <v>2011</v>
      </c>
      <c r="C387">
        <v>5</v>
      </c>
      <c r="D387">
        <v>5</v>
      </c>
      <c r="E387">
        <v>9</v>
      </c>
      <c r="F387">
        <v>-7</v>
      </c>
      <c r="G387">
        <v>2</v>
      </c>
      <c r="H387">
        <v>7</v>
      </c>
      <c r="I387">
        <v>10</v>
      </c>
      <c r="J387">
        <v>-20</v>
      </c>
      <c r="K387">
        <v>33</v>
      </c>
    </row>
    <row r="388" spans="1:11" x14ac:dyDescent="0.25">
      <c r="A388" t="s">
        <v>19</v>
      </c>
      <c r="B388">
        <v>2012</v>
      </c>
      <c r="C388">
        <v>18</v>
      </c>
      <c r="D388">
        <v>1</v>
      </c>
      <c r="E388">
        <v>0</v>
      </c>
      <c r="F388">
        <v>43</v>
      </c>
      <c r="G388">
        <v>10</v>
      </c>
      <c r="H388">
        <v>4</v>
      </c>
      <c r="I388">
        <v>5</v>
      </c>
      <c r="J388">
        <v>21</v>
      </c>
      <c r="K388">
        <v>89</v>
      </c>
    </row>
    <row r="389" spans="1:11" x14ac:dyDescent="0.25">
      <c r="A389" t="s">
        <v>11</v>
      </c>
      <c r="B389">
        <v>2012</v>
      </c>
      <c r="C389">
        <v>15</v>
      </c>
      <c r="D389">
        <v>2</v>
      </c>
      <c r="E389">
        <v>2</v>
      </c>
      <c r="F389">
        <v>33</v>
      </c>
      <c r="G389">
        <v>13</v>
      </c>
      <c r="H389">
        <v>3</v>
      </c>
      <c r="I389">
        <v>3</v>
      </c>
      <c r="J389">
        <v>23</v>
      </c>
      <c r="K389">
        <v>89</v>
      </c>
    </row>
    <row r="390" spans="1:11" x14ac:dyDescent="0.25">
      <c r="A390" t="s">
        <v>20</v>
      </c>
      <c r="B390">
        <v>2012</v>
      </c>
      <c r="C390">
        <v>12</v>
      </c>
      <c r="D390">
        <v>4</v>
      </c>
      <c r="E390">
        <v>3</v>
      </c>
      <c r="F390">
        <v>22</v>
      </c>
      <c r="G390">
        <v>9</v>
      </c>
      <c r="H390">
        <v>3</v>
      </c>
      <c r="I390">
        <v>7</v>
      </c>
      <c r="J390">
        <v>3</v>
      </c>
      <c r="K390">
        <v>70</v>
      </c>
    </row>
    <row r="391" spans="1:11" x14ac:dyDescent="0.25">
      <c r="A391" t="s">
        <v>16</v>
      </c>
      <c r="B391">
        <v>2012</v>
      </c>
      <c r="C391">
        <v>13</v>
      </c>
      <c r="D391">
        <v>3</v>
      </c>
      <c r="E391">
        <v>3</v>
      </c>
      <c r="F391">
        <v>22</v>
      </c>
      <c r="G391">
        <v>7</v>
      </c>
      <c r="H391">
        <v>6</v>
      </c>
      <c r="I391">
        <v>6</v>
      </c>
      <c r="J391">
        <v>3</v>
      </c>
      <c r="K391">
        <v>69</v>
      </c>
    </row>
    <row r="392" spans="1:11" x14ac:dyDescent="0.25">
      <c r="A392" t="s">
        <v>33</v>
      </c>
      <c r="B392">
        <v>2012</v>
      </c>
      <c r="C392">
        <v>11</v>
      </c>
      <c r="D392">
        <v>5</v>
      </c>
      <c r="E392">
        <v>3</v>
      </c>
      <c r="F392">
        <v>12</v>
      </c>
      <c r="G392">
        <v>8</v>
      </c>
      <c r="H392">
        <v>3</v>
      </c>
      <c r="I392">
        <v>8</v>
      </c>
      <c r="J392">
        <v>-7</v>
      </c>
      <c r="K392">
        <v>65</v>
      </c>
    </row>
    <row r="393" spans="1:11" x14ac:dyDescent="0.25">
      <c r="A393" t="s">
        <v>21</v>
      </c>
      <c r="B393">
        <v>2012</v>
      </c>
      <c r="C393">
        <v>12</v>
      </c>
      <c r="D393">
        <v>3</v>
      </c>
      <c r="E393">
        <v>4</v>
      </c>
      <c r="F393">
        <v>17</v>
      </c>
      <c r="G393">
        <v>6</v>
      </c>
      <c r="H393">
        <v>7</v>
      </c>
      <c r="I393">
        <v>6</v>
      </c>
      <c r="J393">
        <v>2</v>
      </c>
      <c r="K393">
        <v>64</v>
      </c>
    </row>
    <row r="394" spans="1:11" x14ac:dyDescent="0.25">
      <c r="A394" t="s">
        <v>23</v>
      </c>
      <c r="B394">
        <v>2012</v>
      </c>
      <c r="C394">
        <v>10</v>
      </c>
      <c r="D394">
        <v>3</v>
      </c>
      <c r="E394">
        <v>6</v>
      </c>
      <c r="F394">
        <v>13</v>
      </c>
      <c r="G394">
        <v>5</v>
      </c>
      <c r="H394">
        <v>8</v>
      </c>
      <c r="I394">
        <v>6</v>
      </c>
      <c r="J394">
        <v>-3</v>
      </c>
      <c r="K394">
        <v>56</v>
      </c>
    </row>
    <row r="395" spans="1:11" x14ac:dyDescent="0.25">
      <c r="A395" t="s">
        <v>44</v>
      </c>
      <c r="B395">
        <v>2012</v>
      </c>
      <c r="C395">
        <v>10</v>
      </c>
      <c r="D395">
        <v>5</v>
      </c>
      <c r="E395">
        <v>4</v>
      </c>
      <c r="F395">
        <v>10</v>
      </c>
      <c r="G395">
        <v>4</v>
      </c>
      <c r="H395">
        <v>5</v>
      </c>
      <c r="I395">
        <v>10</v>
      </c>
      <c r="J395">
        <v>-13</v>
      </c>
      <c r="K395">
        <v>52</v>
      </c>
    </row>
    <row r="396" spans="1:11" x14ac:dyDescent="0.25">
      <c r="A396" t="s">
        <v>17</v>
      </c>
      <c r="B396">
        <v>2012</v>
      </c>
      <c r="C396">
        <v>6</v>
      </c>
      <c r="D396">
        <v>9</v>
      </c>
      <c r="E396">
        <v>4</v>
      </c>
      <c r="F396">
        <v>8</v>
      </c>
      <c r="G396">
        <v>8</v>
      </c>
      <c r="H396">
        <v>1</v>
      </c>
      <c r="I396">
        <v>10</v>
      </c>
      <c r="J396">
        <v>-1</v>
      </c>
      <c r="K396">
        <v>52</v>
      </c>
    </row>
    <row r="397" spans="1:11" x14ac:dyDescent="0.25">
      <c r="A397" t="s">
        <v>13</v>
      </c>
      <c r="B397">
        <v>2012</v>
      </c>
      <c r="C397">
        <v>7</v>
      </c>
      <c r="D397">
        <v>6</v>
      </c>
      <c r="E397">
        <v>6</v>
      </c>
      <c r="F397">
        <v>-2</v>
      </c>
      <c r="G397">
        <v>5</v>
      </c>
      <c r="H397">
        <v>5</v>
      </c>
      <c r="I397">
        <v>9</v>
      </c>
      <c r="J397">
        <v>-12</v>
      </c>
      <c r="K397">
        <v>47</v>
      </c>
    </row>
    <row r="398" spans="1:11" x14ac:dyDescent="0.25">
      <c r="A398" t="s">
        <v>46</v>
      </c>
      <c r="B398">
        <v>2012</v>
      </c>
      <c r="C398">
        <v>6</v>
      </c>
      <c r="D398">
        <v>3</v>
      </c>
      <c r="E398">
        <v>10</v>
      </c>
      <c r="F398">
        <v>-1</v>
      </c>
      <c r="G398">
        <v>7</v>
      </c>
      <c r="H398">
        <v>5</v>
      </c>
      <c r="I398">
        <v>7</v>
      </c>
      <c r="J398">
        <v>-6</v>
      </c>
      <c r="K398">
        <v>47</v>
      </c>
    </row>
    <row r="399" spans="1:11" x14ac:dyDescent="0.25">
      <c r="A399" t="s">
        <v>55</v>
      </c>
      <c r="B399">
        <v>2012</v>
      </c>
      <c r="C399">
        <v>8</v>
      </c>
      <c r="D399">
        <v>7</v>
      </c>
      <c r="E399">
        <v>4</v>
      </c>
      <c r="F399">
        <v>9</v>
      </c>
      <c r="G399">
        <v>4</v>
      </c>
      <c r="H399">
        <v>4</v>
      </c>
      <c r="I399">
        <v>11</v>
      </c>
      <c r="J399">
        <v>-16</v>
      </c>
      <c r="K399">
        <v>47</v>
      </c>
    </row>
    <row r="400" spans="1:11" x14ac:dyDescent="0.25">
      <c r="A400" t="s">
        <v>51</v>
      </c>
      <c r="B400">
        <v>2012</v>
      </c>
      <c r="C400">
        <v>7</v>
      </c>
      <c r="D400">
        <v>8</v>
      </c>
      <c r="E400">
        <v>4</v>
      </c>
      <c r="F400">
        <v>5</v>
      </c>
      <c r="G400">
        <v>4</v>
      </c>
      <c r="H400">
        <v>4</v>
      </c>
      <c r="I400">
        <v>11</v>
      </c>
      <c r="J400">
        <v>-22</v>
      </c>
      <c r="K400">
        <v>45</v>
      </c>
    </row>
    <row r="401" spans="1:11" x14ac:dyDescent="0.25">
      <c r="A401" t="s">
        <v>39</v>
      </c>
      <c r="B401">
        <v>2012</v>
      </c>
      <c r="C401">
        <v>7</v>
      </c>
      <c r="D401">
        <v>7</v>
      </c>
      <c r="E401">
        <v>5</v>
      </c>
      <c r="F401">
        <v>9</v>
      </c>
      <c r="G401">
        <v>4</v>
      </c>
      <c r="H401">
        <v>5</v>
      </c>
      <c r="I401">
        <v>10</v>
      </c>
      <c r="J401">
        <v>-10</v>
      </c>
      <c r="K401">
        <v>45</v>
      </c>
    </row>
    <row r="402" spans="1:11" x14ac:dyDescent="0.25">
      <c r="A402" t="s">
        <v>49</v>
      </c>
      <c r="B402">
        <v>2012</v>
      </c>
      <c r="C402">
        <v>5</v>
      </c>
      <c r="D402">
        <v>7</v>
      </c>
      <c r="E402">
        <v>7</v>
      </c>
      <c r="F402">
        <v>-5</v>
      </c>
      <c r="G402">
        <v>6</v>
      </c>
      <c r="H402">
        <v>3</v>
      </c>
      <c r="I402">
        <v>10</v>
      </c>
      <c r="J402">
        <v>-15</v>
      </c>
      <c r="K402">
        <v>43</v>
      </c>
    </row>
    <row r="403" spans="1:11" x14ac:dyDescent="0.25">
      <c r="A403" t="s">
        <v>12</v>
      </c>
      <c r="B403">
        <v>2012</v>
      </c>
      <c r="C403">
        <v>4</v>
      </c>
      <c r="D403">
        <v>7</v>
      </c>
      <c r="E403">
        <v>8</v>
      </c>
      <c r="F403">
        <v>-5</v>
      </c>
      <c r="G403">
        <v>3</v>
      </c>
      <c r="H403">
        <v>10</v>
      </c>
      <c r="I403">
        <v>6</v>
      </c>
      <c r="J403">
        <v>-11</v>
      </c>
      <c r="K403">
        <v>38</v>
      </c>
    </row>
    <row r="404" spans="1:11" x14ac:dyDescent="0.25">
      <c r="A404" t="s">
        <v>15</v>
      </c>
      <c r="B404">
        <v>2012</v>
      </c>
      <c r="C404">
        <v>7</v>
      </c>
      <c r="D404">
        <v>5</v>
      </c>
      <c r="E404">
        <v>7</v>
      </c>
      <c r="F404">
        <v>-1</v>
      </c>
      <c r="G404">
        <v>3</v>
      </c>
      <c r="H404">
        <v>2</v>
      </c>
      <c r="I404">
        <v>14</v>
      </c>
      <c r="J404">
        <v>-22</v>
      </c>
      <c r="K404">
        <v>37</v>
      </c>
    </row>
    <row r="405" spans="1:11" x14ac:dyDescent="0.25">
      <c r="A405" t="s">
        <v>37</v>
      </c>
      <c r="B405">
        <v>2012</v>
      </c>
      <c r="C405">
        <v>4</v>
      </c>
      <c r="D405">
        <v>4</v>
      </c>
      <c r="E405">
        <v>11</v>
      </c>
      <c r="F405">
        <v>-16</v>
      </c>
      <c r="G405">
        <v>6</v>
      </c>
      <c r="H405">
        <v>2</v>
      </c>
      <c r="I405">
        <v>11</v>
      </c>
      <c r="J405">
        <v>-15</v>
      </c>
      <c r="K405">
        <v>36</v>
      </c>
    </row>
    <row r="406" spans="1:11" x14ac:dyDescent="0.25">
      <c r="A406" t="s">
        <v>14</v>
      </c>
      <c r="B406">
        <v>2012</v>
      </c>
      <c r="C406">
        <v>6</v>
      </c>
      <c r="D406">
        <v>1</v>
      </c>
      <c r="E406">
        <v>12</v>
      </c>
      <c r="F406">
        <v>-7</v>
      </c>
      <c r="G406">
        <v>2</v>
      </c>
      <c r="H406">
        <v>6</v>
      </c>
      <c r="I406">
        <v>11</v>
      </c>
      <c r="J406">
        <v>-23</v>
      </c>
      <c r="K406">
        <v>31</v>
      </c>
    </row>
    <row r="407" spans="1:11" x14ac:dyDescent="0.25">
      <c r="A407" t="s">
        <v>48</v>
      </c>
      <c r="B407">
        <v>2012</v>
      </c>
      <c r="C407">
        <v>3</v>
      </c>
      <c r="D407">
        <v>3</v>
      </c>
      <c r="E407">
        <v>13</v>
      </c>
      <c r="F407">
        <v>-24</v>
      </c>
      <c r="G407">
        <v>2</v>
      </c>
      <c r="H407">
        <v>7</v>
      </c>
      <c r="I407">
        <v>10</v>
      </c>
      <c r="J407">
        <v>-18</v>
      </c>
      <c r="K407">
        <v>25</v>
      </c>
    </row>
    <row r="408" spans="1:11" x14ac:dyDescent="0.25">
      <c r="A408" t="s">
        <v>11</v>
      </c>
      <c r="B408">
        <v>2013</v>
      </c>
      <c r="C408">
        <v>16</v>
      </c>
      <c r="D408">
        <v>0</v>
      </c>
      <c r="E408">
        <v>3</v>
      </c>
      <c r="F408">
        <v>26</v>
      </c>
      <c r="G408">
        <v>12</v>
      </c>
      <c r="H408">
        <v>5</v>
      </c>
      <c r="I408">
        <v>2</v>
      </c>
      <c r="J408">
        <v>17</v>
      </c>
      <c r="K408">
        <v>89</v>
      </c>
    </row>
    <row r="409" spans="1:11" x14ac:dyDescent="0.25">
      <c r="A409" t="s">
        <v>19</v>
      </c>
      <c r="B409">
        <v>2013</v>
      </c>
      <c r="C409">
        <v>14</v>
      </c>
      <c r="D409">
        <v>3</v>
      </c>
      <c r="E409">
        <v>2</v>
      </c>
      <c r="F409">
        <v>26</v>
      </c>
      <c r="G409">
        <v>9</v>
      </c>
      <c r="H409">
        <v>6</v>
      </c>
      <c r="I409">
        <v>4</v>
      </c>
      <c r="J409">
        <v>6</v>
      </c>
      <c r="K409">
        <v>78</v>
      </c>
    </row>
    <row r="410" spans="1:11" x14ac:dyDescent="0.25">
      <c r="A410" t="s">
        <v>21</v>
      </c>
      <c r="B410">
        <v>2013</v>
      </c>
      <c r="C410">
        <v>12</v>
      </c>
      <c r="D410">
        <v>5</v>
      </c>
      <c r="E410">
        <v>2</v>
      </c>
      <c r="F410">
        <v>25</v>
      </c>
      <c r="G410">
        <v>10</v>
      </c>
      <c r="H410">
        <v>4</v>
      </c>
      <c r="I410">
        <v>5</v>
      </c>
      <c r="J410">
        <v>11</v>
      </c>
      <c r="K410">
        <v>75</v>
      </c>
    </row>
    <row r="411" spans="1:11" x14ac:dyDescent="0.25">
      <c r="A411" t="s">
        <v>20</v>
      </c>
      <c r="B411">
        <v>2013</v>
      </c>
      <c r="C411">
        <v>11</v>
      </c>
      <c r="D411">
        <v>5</v>
      </c>
      <c r="E411">
        <v>3</v>
      </c>
      <c r="F411">
        <v>24</v>
      </c>
      <c r="G411">
        <v>10</v>
      </c>
      <c r="H411">
        <v>5</v>
      </c>
      <c r="I411">
        <v>4</v>
      </c>
      <c r="J411">
        <v>11</v>
      </c>
      <c r="K411">
        <v>73</v>
      </c>
    </row>
    <row r="412" spans="1:11" x14ac:dyDescent="0.25">
      <c r="A412" t="s">
        <v>16</v>
      </c>
      <c r="B412">
        <v>2013</v>
      </c>
      <c r="C412">
        <v>11</v>
      </c>
      <c r="D412">
        <v>5</v>
      </c>
      <c r="E412">
        <v>3</v>
      </c>
      <c r="F412">
        <v>11</v>
      </c>
      <c r="G412">
        <v>10</v>
      </c>
      <c r="H412">
        <v>4</v>
      </c>
      <c r="I412">
        <v>5</v>
      </c>
      <c r="J412">
        <v>9</v>
      </c>
      <c r="K412">
        <v>72</v>
      </c>
    </row>
    <row r="413" spans="1:11" x14ac:dyDescent="0.25">
      <c r="A413" t="s">
        <v>23</v>
      </c>
      <c r="B413">
        <v>2013</v>
      </c>
      <c r="C413">
        <v>12</v>
      </c>
      <c r="D413">
        <v>6</v>
      </c>
      <c r="E413">
        <v>1</v>
      </c>
      <c r="F413">
        <v>16</v>
      </c>
      <c r="G413">
        <v>4</v>
      </c>
      <c r="H413">
        <v>9</v>
      </c>
      <c r="I413">
        <v>6</v>
      </c>
      <c r="J413">
        <v>-1</v>
      </c>
      <c r="K413">
        <v>63</v>
      </c>
    </row>
    <row r="414" spans="1:11" x14ac:dyDescent="0.25">
      <c r="A414" t="s">
        <v>17</v>
      </c>
      <c r="B414">
        <v>2013</v>
      </c>
      <c r="C414">
        <v>9</v>
      </c>
      <c r="D414">
        <v>6</v>
      </c>
      <c r="E414">
        <v>4</v>
      </c>
      <c r="F414">
        <v>17</v>
      </c>
      <c r="G414">
        <v>7</v>
      </c>
      <c r="H414">
        <v>7</v>
      </c>
      <c r="I414">
        <v>5</v>
      </c>
      <c r="J414">
        <v>11</v>
      </c>
      <c r="K414">
        <v>61</v>
      </c>
    </row>
    <row r="415" spans="1:11" x14ac:dyDescent="0.25">
      <c r="A415" t="s">
        <v>46</v>
      </c>
      <c r="B415">
        <v>2013</v>
      </c>
      <c r="C415">
        <v>9</v>
      </c>
      <c r="D415">
        <v>4</v>
      </c>
      <c r="E415">
        <v>6</v>
      </c>
      <c r="F415">
        <v>7</v>
      </c>
      <c r="G415">
        <v>5</v>
      </c>
      <c r="H415">
        <v>3</v>
      </c>
      <c r="I415">
        <v>11</v>
      </c>
      <c r="J415">
        <v>-11</v>
      </c>
      <c r="K415">
        <v>49</v>
      </c>
    </row>
    <row r="416" spans="1:11" x14ac:dyDescent="0.25">
      <c r="A416" t="s">
        <v>34</v>
      </c>
      <c r="B416">
        <v>2013</v>
      </c>
      <c r="C416">
        <v>9</v>
      </c>
      <c r="D416">
        <v>6</v>
      </c>
      <c r="E416">
        <v>4</v>
      </c>
      <c r="F416">
        <v>12</v>
      </c>
      <c r="G416">
        <v>3</v>
      </c>
      <c r="H416">
        <v>4</v>
      </c>
      <c r="I416">
        <v>12</v>
      </c>
      <c r="J416">
        <v>-20</v>
      </c>
      <c r="K416">
        <v>46</v>
      </c>
    </row>
    <row r="417" spans="1:11" x14ac:dyDescent="0.25">
      <c r="A417" t="s">
        <v>55</v>
      </c>
      <c r="B417">
        <v>2013</v>
      </c>
      <c r="C417">
        <v>6</v>
      </c>
      <c r="D417">
        <v>8</v>
      </c>
      <c r="E417">
        <v>5</v>
      </c>
      <c r="F417">
        <v>2</v>
      </c>
      <c r="G417">
        <v>5</v>
      </c>
      <c r="H417">
        <v>5</v>
      </c>
      <c r="I417">
        <v>9</v>
      </c>
      <c r="J417">
        <v>-6</v>
      </c>
      <c r="K417">
        <v>46</v>
      </c>
    </row>
    <row r="418" spans="1:11" x14ac:dyDescent="0.25">
      <c r="A418" t="s">
        <v>13</v>
      </c>
      <c r="B418">
        <v>2013</v>
      </c>
      <c r="C418">
        <v>8</v>
      </c>
      <c r="D418">
        <v>7</v>
      </c>
      <c r="E418">
        <v>4</v>
      </c>
      <c r="F418">
        <v>5</v>
      </c>
      <c r="G418">
        <v>2</v>
      </c>
      <c r="H418">
        <v>7</v>
      </c>
      <c r="I418">
        <v>10</v>
      </c>
      <c r="J418">
        <v>-22</v>
      </c>
      <c r="K418">
        <v>44</v>
      </c>
    </row>
    <row r="419" spans="1:11" x14ac:dyDescent="0.25">
      <c r="A419" t="s">
        <v>44</v>
      </c>
      <c r="B419">
        <v>2013</v>
      </c>
      <c r="C419">
        <v>7</v>
      </c>
      <c r="D419">
        <v>3</v>
      </c>
      <c r="E419">
        <v>9</v>
      </c>
      <c r="F419">
        <v>-2</v>
      </c>
      <c r="G419">
        <v>4</v>
      </c>
      <c r="H419">
        <v>7</v>
      </c>
      <c r="I419">
        <v>8</v>
      </c>
      <c r="J419">
        <v>-8</v>
      </c>
      <c r="K419">
        <v>43</v>
      </c>
    </row>
    <row r="420" spans="1:11" x14ac:dyDescent="0.25">
      <c r="A420" t="s">
        <v>51</v>
      </c>
      <c r="B420">
        <v>2013</v>
      </c>
      <c r="C420">
        <v>7</v>
      </c>
      <c r="D420">
        <v>7</v>
      </c>
      <c r="E420">
        <v>5</v>
      </c>
      <c r="F420">
        <v>-1</v>
      </c>
      <c r="G420">
        <v>2</v>
      </c>
      <c r="H420">
        <v>8</v>
      </c>
      <c r="I420">
        <v>9</v>
      </c>
      <c r="J420">
        <v>-10</v>
      </c>
      <c r="K420">
        <v>42</v>
      </c>
    </row>
    <row r="421" spans="1:11" x14ac:dyDescent="0.25">
      <c r="A421" t="s">
        <v>33</v>
      </c>
      <c r="B421">
        <v>2013</v>
      </c>
      <c r="C421">
        <v>9</v>
      </c>
      <c r="D421">
        <v>1</v>
      </c>
      <c r="E421">
        <v>9</v>
      </c>
      <c r="F421">
        <v>-7</v>
      </c>
      <c r="G421">
        <v>2</v>
      </c>
      <c r="H421">
        <v>7</v>
      </c>
      <c r="I421">
        <v>10</v>
      </c>
      <c r="J421">
        <v>-16</v>
      </c>
      <c r="K421">
        <v>41</v>
      </c>
    </row>
    <row r="422" spans="1:11" x14ac:dyDescent="0.25">
      <c r="A422" t="s">
        <v>28</v>
      </c>
      <c r="B422">
        <v>2013</v>
      </c>
      <c r="C422">
        <v>6</v>
      </c>
      <c r="D422">
        <v>7</v>
      </c>
      <c r="E422">
        <v>6</v>
      </c>
      <c r="F422">
        <v>2</v>
      </c>
      <c r="G422">
        <v>3</v>
      </c>
      <c r="H422">
        <v>7</v>
      </c>
      <c r="I422">
        <v>9</v>
      </c>
      <c r="J422">
        <v>-13</v>
      </c>
      <c r="K422">
        <v>41</v>
      </c>
    </row>
    <row r="423" spans="1:11" x14ac:dyDescent="0.25">
      <c r="A423" t="s">
        <v>12</v>
      </c>
      <c r="B423">
        <v>2013</v>
      </c>
      <c r="C423">
        <v>5</v>
      </c>
      <c r="D423">
        <v>5</v>
      </c>
      <c r="E423">
        <v>9</v>
      </c>
      <c r="F423">
        <v>-5</v>
      </c>
      <c r="G423">
        <v>5</v>
      </c>
      <c r="H423">
        <v>6</v>
      </c>
      <c r="I423">
        <v>8</v>
      </c>
      <c r="J423">
        <v>-17</v>
      </c>
      <c r="K423">
        <v>41</v>
      </c>
    </row>
    <row r="424" spans="1:11" x14ac:dyDescent="0.25">
      <c r="A424" t="s">
        <v>39</v>
      </c>
      <c r="B424">
        <v>2013</v>
      </c>
      <c r="C424">
        <v>5</v>
      </c>
      <c r="D424">
        <v>8</v>
      </c>
      <c r="E424">
        <v>6</v>
      </c>
      <c r="F424">
        <v>1</v>
      </c>
      <c r="G424">
        <v>4</v>
      </c>
      <c r="H424">
        <v>4</v>
      </c>
      <c r="I424">
        <v>11</v>
      </c>
      <c r="J424">
        <v>-14</v>
      </c>
      <c r="K424">
        <v>39</v>
      </c>
    </row>
    <row r="425" spans="1:11" x14ac:dyDescent="0.25">
      <c r="A425" t="s">
        <v>49</v>
      </c>
      <c r="B425">
        <v>2013</v>
      </c>
      <c r="C425">
        <v>4</v>
      </c>
      <c r="D425">
        <v>6</v>
      </c>
      <c r="E425">
        <v>9</v>
      </c>
      <c r="F425">
        <v>-13</v>
      </c>
      <c r="G425">
        <v>5</v>
      </c>
      <c r="H425">
        <v>3</v>
      </c>
      <c r="I425">
        <v>11</v>
      </c>
      <c r="J425">
        <v>-13</v>
      </c>
      <c r="K425">
        <v>36</v>
      </c>
    </row>
    <row r="426" spans="1:11" x14ac:dyDescent="0.25">
      <c r="A426" t="s">
        <v>50</v>
      </c>
      <c r="B426">
        <v>2013</v>
      </c>
      <c r="C426">
        <v>4</v>
      </c>
      <c r="D426">
        <v>8</v>
      </c>
      <c r="E426">
        <v>7</v>
      </c>
      <c r="F426">
        <v>-10</v>
      </c>
      <c r="G426">
        <v>2</v>
      </c>
      <c r="H426">
        <v>2</v>
      </c>
      <c r="I426">
        <v>15</v>
      </c>
      <c r="J426">
        <v>-20</v>
      </c>
      <c r="K426">
        <v>28</v>
      </c>
    </row>
    <row r="427" spans="1:11" x14ac:dyDescent="0.25">
      <c r="A427" t="s">
        <v>15</v>
      </c>
      <c r="B427">
        <v>2013</v>
      </c>
      <c r="C427">
        <v>2</v>
      </c>
      <c r="D427">
        <v>8</v>
      </c>
      <c r="E427">
        <v>9</v>
      </c>
      <c r="F427">
        <v>-15</v>
      </c>
      <c r="G427">
        <v>2</v>
      </c>
      <c r="H427">
        <v>5</v>
      </c>
      <c r="I427">
        <v>12</v>
      </c>
      <c r="J427">
        <v>-15</v>
      </c>
      <c r="K427">
        <v>25</v>
      </c>
    </row>
    <row r="428" spans="1:11" x14ac:dyDescent="0.25">
      <c r="A428" t="s">
        <v>19</v>
      </c>
      <c r="B428">
        <v>2014</v>
      </c>
      <c r="C428">
        <v>17</v>
      </c>
      <c r="D428">
        <v>1</v>
      </c>
      <c r="E428">
        <v>1</v>
      </c>
      <c r="F428">
        <v>50</v>
      </c>
      <c r="G428">
        <v>10</v>
      </c>
      <c r="H428">
        <v>4</v>
      </c>
      <c r="I428">
        <v>5</v>
      </c>
      <c r="J428">
        <v>15</v>
      </c>
      <c r="K428">
        <v>86</v>
      </c>
    </row>
    <row r="429" spans="1:11" x14ac:dyDescent="0.25">
      <c r="A429" t="s">
        <v>17</v>
      </c>
      <c r="B429">
        <v>2014</v>
      </c>
      <c r="C429">
        <v>16</v>
      </c>
      <c r="D429">
        <v>1</v>
      </c>
      <c r="E429">
        <v>2</v>
      </c>
      <c r="F429">
        <v>35</v>
      </c>
      <c r="G429">
        <v>10</v>
      </c>
      <c r="H429">
        <v>5</v>
      </c>
      <c r="I429">
        <v>4</v>
      </c>
      <c r="J429">
        <v>16</v>
      </c>
      <c r="K429">
        <v>84</v>
      </c>
    </row>
    <row r="430" spans="1:11" x14ac:dyDescent="0.25">
      <c r="A430" t="s">
        <v>21</v>
      </c>
      <c r="B430">
        <v>2014</v>
      </c>
      <c r="C430">
        <v>15</v>
      </c>
      <c r="D430">
        <v>3</v>
      </c>
      <c r="E430">
        <v>1</v>
      </c>
      <c r="F430">
        <v>32</v>
      </c>
      <c r="G430">
        <v>10</v>
      </c>
      <c r="H430">
        <v>4</v>
      </c>
      <c r="I430">
        <v>5</v>
      </c>
      <c r="J430">
        <v>12</v>
      </c>
      <c r="K430">
        <v>82</v>
      </c>
    </row>
    <row r="431" spans="1:11" x14ac:dyDescent="0.25">
      <c r="A431" t="s">
        <v>20</v>
      </c>
      <c r="B431">
        <v>2014</v>
      </c>
      <c r="C431">
        <v>13</v>
      </c>
      <c r="D431">
        <v>5</v>
      </c>
      <c r="E431">
        <v>1</v>
      </c>
      <c r="F431">
        <v>25</v>
      </c>
      <c r="G431">
        <v>11</v>
      </c>
      <c r="H431">
        <v>2</v>
      </c>
      <c r="I431">
        <v>6</v>
      </c>
      <c r="J431">
        <v>2</v>
      </c>
      <c r="K431">
        <v>79</v>
      </c>
    </row>
    <row r="432" spans="1:11" x14ac:dyDescent="0.25">
      <c r="A432" t="s">
        <v>23</v>
      </c>
      <c r="B432">
        <v>2014</v>
      </c>
      <c r="C432">
        <v>13</v>
      </c>
      <c r="D432">
        <v>3</v>
      </c>
      <c r="E432">
        <v>3</v>
      </c>
      <c r="F432">
        <v>19</v>
      </c>
      <c r="G432">
        <v>8</v>
      </c>
      <c r="H432">
        <v>6</v>
      </c>
      <c r="I432">
        <v>5</v>
      </c>
      <c r="J432">
        <v>3</v>
      </c>
      <c r="K432">
        <v>72</v>
      </c>
    </row>
    <row r="433" spans="1:11" x14ac:dyDescent="0.25">
      <c r="A433" t="s">
        <v>16</v>
      </c>
      <c r="B433">
        <v>2014</v>
      </c>
      <c r="C433">
        <v>11</v>
      </c>
      <c r="D433">
        <v>3</v>
      </c>
      <c r="E433">
        <v>5</v>
      </c>
      <c r="F433">
        <v>7</v>
      </c>
      <c r="G433">
        <v>10</v>
      </c>
      <c r="H433">
        <v>3</v>
      </c>
      <c r="I433">
        <v>6</v>
      </c>
      <c r="J433">
        <v>-3</v>
      </c>
      <c r="K433">
        <v>69</v>
      </c>
    </row>
    <row r="434" spans="1:11" x14ac:dyDescent="0.25">
      <c r="A434" t="s">
        <v>11</v>
      </c>
      <c r="B434">
        <v>2014</v>
      </c>
      <c r="C434">
        <v>9</v>
      </c>
      <c r="D434">
        <v>3</v>
      </c>
      <c r="E434">
        <v>7</v>
      </c>
      <c r="F434">
        <v>8</v>
      </c>
      <c r="G434">
        <v>10</v>
      </c>
      <c r="H434">
        <v>4</v>
      </c>
      <c r="I434">
        <v>5</v>
      </c>
      <c r="J434">
        <v>13</v>
      </c>
      <c r="K434">
        <v>64</v>
      </c>
    </row>
    <row r="435" spans="1:11" x14ac:dyDescent="0.25">
      <c r="A435" t="s">
        <v>28</v>
      </c>
      <c r="B435">
        <v>2014</v>
      </c>
      <c r="C435">
        <v>8</v>
      </c>
      <c r="D435">
        <v>6</v>
      </c>
      <c r="E435">
        <v>5</v>
      </c>
      <c r="F435">
        <v>9</v>
      </c>
      <c r="G435">
        <v>7</v>
      </c>
      <c r="H435">
        <v>5</v>
      </c>
      <c r="I435">
        <v>7</v>
      </c>
      <c r="J435">
        <v>-1</v>
      </c>
      <c r="K435">
        <v>56</v>
      </c>
    </row>
    <row r="436" spans="1:11" x14ac:dyDescent="0.25">
      <c r="A436" t="s">
        <v>51</v>
      </c>
      <c r="B436">
        <v>2014</v>
      </c>
      <c r="C436">
        <v>10</v>
      </c>
      <c r="D436">
        <v>6</v>
      </c>
      <c r="E436">
        <v>3</v>
      </c>
      <c r="F436">
        <v>10</v>
      </c>
      <c r="G436">
        <v>3</v>
      </c>
      <c r="H436">
        <v>5</v>
      </c>
      <c r="I436">
        <v>11</v>
      </c>
      <c r="J436">
        <v>-17</v>
      </c>
      <c r="K436">
        <v>50</v>
      </c>
    </row>
    <row r="437" spans="1:11" x14ac:dyDescent="0.25">
      <c r="A437" t="s">
        <v>33</v>
      </c>
      <c r="B437">
        <v>2014</v>
      </c>
      <c r="C437">
        <v>8</v>
      </c>
      <c r="D437">
        <v>3</v>
      </c>
      <c r="E437">
        <v>8</v>
      </c>
      <c r="F437">
        <v>-5</v>
      </c>
      <c r="G437">
        <v>7</v>
      </c>
      <c r="H437">
        <v>1</v>
      </c>
      <c r="I437">
        <v>11</v>
      </c>
      <c r="J437">
        <v>-11</v>
      </c>
      <c r="K437">
        <v>49</v>
      </c>
    </row>
    <row r="438" spans="1:11" x14ac:dyDescent="0.25">
      <c r="A438" t="s">
        <v>29</v>
      </c>
      <c r="B438">
        <v>2014</v>
      </c>
      <c r="C438">
        <v>8</v>
      </c>
      <c r="D438">
        <v>3</v>
      </c>
      <c r="E438">
        <v>8</v>
      </c>
      <c r="F438">
        <v>-5</v>
      </c>
      <c r="G438">
        <v>5</v>
      </c>
      <c r="H438">
        <v>3</v>
      </c>
      <c r="I438">
        <v>11</v>
      </c>
      <c r="J438">
        <v>-10</v>
      </c>
      <c r="K438">
        <v>45</v>
      </c>
    </row>
    <row r="439" spans="1:11" x14ac:dyDescent="0.25">
      <c r="A439" t="s">
        <v>55</v>
      </c>
      <c r="B439">
        <v>2014</v>
      </c>
      <c r="C439">
        <v>6</v>
      </c>
      <c r="D439">
        <v>5</v>
      </c>
      <c r="E439">
        <v>8</v>
      </c>
      <c r="F439">
        <v>7</v>
      </c>
      <c r="G439">
        <v>5</v>
      </c>
      <c r="H439">
        <v>4</v>
      </c>
      <c r="I439">
        <v>10</v>
      </c>
      <c r="J439">
        <v>-7</v>
      </c>
      <c r="K439">
        <v>42</v>
      </c>
    </row>
    <row r="440" spans="1:11" x14ac:dyDescent="0.25">
      <c r="A440" t="s">
        <v>34</v>
      </c>
      <c r="B440">
        <v>2014</v>
      </c>
      <c r="C440">
        <v>7</v>
      </c>
      <c r="D440">
        <v>3</v>
      </c>
      <c r="E440">
        <v>9</v>
      </c>
      <c r="F440">
        <v>-1</v>
      </c>
      <c r="G440">
        <v>4</v>
      </c>
      <c r="H440">
        <v>4</v>
      </c>
      <c r="I440">
        <v>11</v>
      </c>
      <c r="J440">
        <v>-10</v>
      </c>
      <c r="K440">
        <v>40</v>
      </c>
    </row>
    <row r="441" spans="1:11" x14ac:dyDescent="0.25">
      <c r="A441" t="s">
        <v>39</v>
      </c>
      <c r="B441">
        <v>2014</v>
      </c>
      <c r="C441">
        <v>5</v>
      </c>
      <c r="D441">
        <v>3</v>
      </c>
      <c r="E441">
        <v>11</v>
      </c>
      <c r="F441">
        <v>-6</v>
      </c>
      <c r="G441">
        <v>5</v>
      </c>
      <c r="H441">
        <v>5</v>
      </c>
      <c r="I441">
        <v>9</v>
      </c>
      <c r="J441">
        <v>-13</v>
      </c>
      <c r="K441">
        <v>38</v>
      </c>
    </row>
    <row r="442" spans="1:11" x14ac:dyDescent="0.25">
      <c r="A442" t="s">
        <v>12</v>
      </c>
      <c r="B442">
        <v>2014</v>
      </c>
      <c r="C442">
        <v>6</v>
      </c>
      <c r="D442">
        <v>3</v>
      </c>
      <c r="E442">
        <v>10</v>
      </c>
      <c r="F442">
        <v>-7</v>
      </c>
      <c r="G442">
        <v>4</v>
      </c>
      <c r="H442">
        <v>5</v>
      </c>
      <c r="I442">
        <v>10</v>
      </c>
      <c r="J442">
        <v>-15</v>
      </c>
      <c r="K442">
        <v>38</v>
      </c>
    </row>
    <row r="443" spans="1:11" x14ac:dyDescent="0.25">
      <c r="A443" t="s">
        <v>52</v>
      </c>
      <c r="B443">
        <v>2014</v>
      </c>
      <c r="C443">
        <v>7</v>
      </c>
      <c r="D443">
        <v>4</v>
      </c>
      <c r="E443">
        <v>8</v>
      </c>
      <c r="F443">
        <v>-1</v>
      </c>
      <c r="G443">
        <v>3</v>
      </c>
      <c r="H443">
        <v>3</v>
      </c>
      <c r="I443">
        <v>13</v>
      </c>
      <c r="J443">
        <v>-14</v>
      </c>
      <c r="K443">
        <v>37</v>
      </c>
    </row>
    <row r="444" spans="1:11" x14ac:dyDescent="0.25">
      <c r="A444" t="s">
        <v>46</v>
      </c>
      <c r="B444">
        <v>2014</v>
      </c>
      <c r="C444">
        <v>4</v>
      </c>
      <c r="D444">
        <v>9</v>
      </c>
      <c r="E444">
        <v>6</v>
      </c>
      <c r="F444">
        <v>-3</v>
      </c>
      <c r="G444">
        <v>3</v>
      </c>
      <c r="H444">
        <v>6</v>
      </c>
      <c r="I444">
        <v>10</v>
      </c>
      <c r="J444">
        <v>-13</v>
      </c>
      <c r="K444">
        <v>36</v>
      </c>
    </row>
    <row r="445" spans="1:11" x14ac:dyDescent="0.25">
      <c r="A445" t="s">
        <v>13</v>
      </c>
      <c r="B445">
        <v>2014</v>
      </c>
      <c r="C445">
        <v>6</v>
      </c>
      <c r="D445">
        <v>6</v>
      </c>
      <c r="E445">
        <v>7</v>
      </c>
      <c r="F445">
        <v>-1</v>
      </c>
      <c r="G445">
        <v>2</v>
      </c>
      <c r="H445">
        <v>3</v>
      </c>
      <c r="I445">
        <v>14</v>
      </c>
      <c r="J445">
        <v>-33</v>
      </c>
      <c r="K445">
        <v>33</v>
      </c>
    </row>
    <row r="446" spans="1:11" x14ac:dyDescent="0.25">
      <c r="A446" t="s">
        <v>44</v>
      </c>
      <c r="B446">
        <v>2014</v>
      </c>
      <c r="C446">
        <v>5</v>
      </c>
      <c r="D446">
        <v>3</v>
      </c>
      <c r="E446">
        <v>11</v>
      </c>
      <c r="F446">
        <v>-14</v>
      </c>
      <c r="G446">
        <v>4</v>
      </c>
      <c r="H446">
        <v>2</v>
      </c>
      <c r="I446">
        <v>13</v>
      </c>
      <c r="J446">
        <v>-31</v>
      </c>
      <c r="K446">
        <v>32</v>
      </c>
    </row>
    <row r="447" spans="1:11" x14ac:dyDescent="0.25">
      <c r="A447" t="s">
        <v>56</v>
      </c>
      <c r="B447">
        <v>2014</v>
      </c>
      <c r="C447">
        <v>5</v>
      </c>
      <c r="D447">
        <v>5</v>
      </c>
      <c r="E447">
        <v>9</v>
      </c>
      <c r="F447">
        <v>-15</v>
      </c>
      <c r="G447">
        <v>2</v>
      </c>
      <c r="H447">
        <v>4</v>
      </c>
      <c r="I447">
        <v>13</v>
      </c>
      <c r="J447">
        <v>-27</v>
      </c>
      <c r="K447">
        <v>30</v>
      </c>
    </row>
    <row r="448" spans="1:11" x14ac:dyDescent="0.25">
      <c r="A448" t="s">
        <v>21</v>
      </c>
      <c r="B448">
        <v>2015</v>
      </c>
      <c r="C448">
        <v>15</v>
      </c>
      <c r="D448">
        <v>4</v>
      </c>
      <c r="E448">
        <v>0</v>
      </c>
      <c r="F448">
        <v>27</v>
      </c>
      <c r="G448">
        <v>11</v>
      </c>
      <c r="H448">
        <v>5</v>
      </c>
      <c r="I448">
        <v>3</v>
      </c>
      <c r="J448">
        <v>14</v>
      </c>
      <c r="K448">
        <v>87</v>
      </c>
    </row>
    <row r="449" spans="1:11" x14ac:dyDescent="0.25">
      <c r="A449" t="s">
        <v>19</v>
      </c>
      <c r="B449">
        <v>2015</v>
      </c>
      <c r="C449">
        <v>14</v>
      </c>
      <c r="D449">
        <v>3</v>
      </c>
      <c r="E449">
        <v>2</v>
      </c>
      <c r="F449">
        <v>30</v>
      </c>
      <c r="G449">
        <v>10</v>
      </c>
      <c r="H449">
        <v>4</v>
      </c>
      <c r="I449">
        <v>5</v>
      </c>
      <c r="J449">
        <v>15</v>
      </c>
      <c r="K449">
        <v>79</v>
      </c>
    </row>
    <row r="450" spans="1:11" x14ac:dyDescent="0.25">
      <c r="A450" t="s">
        <v>20</v>
      </c>
      <c r="B450">
        <v>2015</v>
      </c>
      <c r="C450">
        <v>12</v>
      </c>
      <c r="D450">
        <v>5</v>
      </c>
      <c r="E450">
        <v>2</v>
      </c>
      <c r="F450">
        <v>27</v>
      </c>
      <c r="G450">
        <v>10</v>
      </c>
      <c r="H450">
        <v>4</v>
      </c>
      <c r="I450">
        <v>5</v>
      </c>
      <c r="J450">
        <v>8</v>
      </c>
      <c r="K450">
        <v>75</v>
      </c>
    </row>
    <row r="451" spans="1:11" x14ac:dyDescent="0.25">
      <c r="A451" t="s">
        <v>11</v>
      </c>
      <c r="B451">
        <v>2015</v>
      </c>
      <c r="C451">
        <v>14</v>
      </c>
      <c r="D451">
        <v>2</v>
      </c>
      <c r="E451">
        <v>3</v>
      </c>
      <c r="F451">
        <v>26</v>
      </c>
      <c r="G451">
        <v>6</v>
      </c>
      <c r="H451">
        <v>8</v>
      </c>
      <c r="I451">
        <v>5</v>
      </c>
      <c r="J451">
        <v>-1</v>
      </c>
      <c r="K451">
        <v>70</v>
      </c>
    </row>
    <row r="452" spans="1:11" x14ac:dyDescent="0.25">
      <c r="A452" t="s">
        <v>16</v>
      </c>
      <c r="B452">
        <v>2015</v>
      </c>
      <c r="C452">
        <v>10</v>
      </c>
      <c r="D452">
        <v>3</v>
      </c>
      <c r="E452">
        <v>6</v>
      </c>
      <c r="F452">
        <v>7</v>
      </c>
      <c r="G452">
        <v>9</v>
      </c>
      <c r="H452">
        <v>4</v>
      </c>
      <c r="I452">
        <v>6</v>
      </c>
      <c r="J452">
        <v>-2</v>
      </c>
      <c r="K452">
        <v>64</v>
      </c>
    </row>
    <row r="453" spans="1:11" x14ac:dyDescent="0.25">
      <c r="A453" t="s">
        <v>17</v>
      </c>
      <c r="B453">
        <v>2015</v>
      </c>
      <c r="C453">
        <v>10</v>
      </c>
      <c r="D453">
        <v>5</v>
      </c>
      <c r="E453">
        <v>4</v>
      </c>
      <c r="F453">
        <v>10</v>
      </c>
      <c r="G453">
        <v>8</v>
      </c>
      <c r="H453">
        <v>3</v>
      </c>
      <c r="I453">
        <v>8</v>
      </c>
      <c r="J453">
        <v>-6</v>
      </c>
      <c r="K453">
        <v>62</v>
      </c>
    </row>
    <row r="454" spans="1:11" x14ac:dyDescent="0.25">
      <c r="A454" t="s">
        <v>28</v>
      </c>
      <c r="B454">
        <v>2015</v>
      </c>
      <c r="C454">
        <v>11</v>
      </c>
      <c r="D454">
        <v>4</v>
      </c>
      <c r="E454">
        <v>4</v>
      </c>
      <c r="F454">
        <v>24</v>
      </c>
      <c r="G454">
        <v>7</v>
      </c>
      <c r="H454">
        <v>2</v>
      </c>
      <c r="I454">
        <v>10</v>
      </c>
      <c r="J454">
        <v>-3</v>
      </c>
      <c r="K454">
        <v>60</v>
      </c>
    </row>
    <row r="455" spans="1:11" x14ac:dyDescent="0.25">
      <c r="A455" t="s">
        <v>55</v>
      </c>
      <c r="B455">
        <v>2015</v>
      </c>
      <c r="C455">
        <v>9</v>
      </c>
      <c r="D455">
        <v>5</v>
      </c>
      <c r="E455">
        <v>5</v>
      </c>
      <c r="F455">
        <v>5</v>
      </c>
      <c r="G455">
        <v>7</v>
      </c>
      <c r="H455">
        <v>3</v>
      </c>
      <c r="I455">
        <v>9</v>
      </c>
      <c r="J455">
        <v>-8</v>
      </c>
      <c r="K455">
        <v>56</v>
      </c>
    </row>
    <row r="456" spans="1:11" x14ac:dyDescent="0.25">
      <c r="A456" t="s">
        <v>51</v>
      </c>
      <c r="B456">
        <v>2015</v>
      </c>
      <c r="C456">
        <v>10</v>
      </c>
      <c r="D456">
        <v>3</v>
      </c>
      <c r="E456">
        <v>6</v>
      </c>
      <c r="F456">
        <v>10</v>
      </c>
      <c r="G456">
        <v>5</v>
      </c>
      <c r="H456">
        <v>6</v>
      </c>
      <c r="I456">
        <v>8</v>
      </c>
      <c r="J456">
        <v>-7</v>
      </c>
      <c r="K456">
        <v>54</v>
      </c>
    </row>
    <row r="457" spans="1:11" x14ac:dyDescent="0.25">
      <c r="A457" t="s">
        <v>29</v>
      </c>
      <c r="B457">
        <v>2015</v>
      </c>
      <c r="C457">
        <v>6</v>
      </c>
      <c r="D457">
        <v>3</v>
      </c>
      <c r="E457">
        <v>10</v>
      </c>
      <c r="F457">
        <v>-6</v>
      </c>
      <c r="G457">
        <v>7</v>
      </c>
      <c r="H457">
        <v>6</v>
      </c>
      <c r="I457">
        <v>6</v>
      </c>
      <c r="J457">
        <v>2</v>
      </c>
      <c r="K457">
        <v>48</v>
      </c>
    </row>
    <row r="458" spans="1:11" x14ac:dyDescent="0.25">
      <c r="A458" t="s">
        <v>34</v>
      </c>
      <c r="B458">
        <v>2015</v>
      </c>
      <c r="C458">
        <v>9</v>
      </c>
      <c r="D458">
        <v>4</v>
      </c>
      <c r="E458">
        <v>6</v>
      </c>
      <c r="F458">
        <v>7</v>
      </c>
      <c r="G458">
        <v>3</v>
      </c>
      <c r="H458">
        <v>7</v>
      </c>
      <c r="I458">
        <v>9</v>
      </c>
      <c r="J458">
        <v>-10</v>
      </c>
      <c r="K458">
        <v>47</v>
      </c>
    </row>
    <row r="459" spans="1:11" x14ac:dyDescent="0.25">
      <c r="A459" t="s">
        <v>23</v>
      </c>
      <c r="B459">
        <v>2015</v>
      </c>
      <c r="C459">
        <v>7</v>
      </c>
      <c r="D459">
        <v>7</v>
      </c>
      <c r="E459">
        <v>5</v>
      </c>
      <c r="F459">
        <v>6</v>
      </c>
      <c r="G459">
        <v>5</v>
      </c>
      <c r="H459">
        <v>4</v>
      </c>
      <c r="I459">
        <v>10</v>
      </c>
      <c r="J459">
        <v>-8</v>
      </c>
      <c r="K459">
        <v>47</v>
      </c>
    </row>
    <row r="460" spans="1:11" x14ac:dyDescent="0.25">
      <c r="A460" t="s">
        <v>46</v>
      </c>
      <c r="B460">
        <v>2015</v>
      </c>
      <c r="C460">
        <v>7</v>
      </c>
      <c r="D460">
        <v>4</v>
      </c>
      <c r="E460">
        <v>8</v>
      </c>
      <c r="F460">
        <v>-2</v>
      </c>
      <c r="G460">
        <v>4</v>
      </c>
      <c r="H460">
        <v>7</v>
      </c>
      <c r="I460">
        <v>8</v>
      </c>
      <c r="J460">
        <v>-11</v>
      </c>
      <c r="K460">
        <v>44</v>
      </c>
    </row>
    <row r="461" spans="1:11" x14ac:dyDescent="0.25">
      <c r="A461" t="s">
        <v>36</v>
      </c>
      <c r="B461">
        <v>2015</v>
      </c>
      <c r="C461">
        <v>7</v>
      </c>
      <c r="D461">
        <v>5</v>
      </c>
      <c r="E461">
        <v>7</v>
      </c>
      <c r="F461">
        <v>6</v>
      </c>
      <c r="G461">
        <v>4</v>
      </c>
      <c r="H461">
        <v>3</v>
      </c>
      <c r="I461">
        <v>12</v>
      </c>
      <c r="J461">
        <v>-15</v>
      </c>
      <c r="K461">
        <v>41</v>
      </c>
    </row>
    <row r="462" spans="1:11" x14ac:dyDescent="0.25">
      <c r="A462" t="s">
        <v>33</v>
      </c>
      <c r="B462">
        <v>2015</v>
      </c>
      <c r="C462">
        <v>7</v>
      </c>
      <c r="D462">
        <v>5</v>
      </c>
      <c r="E462">
        <v>7</v>
      </c>
      <c r="F462">
        <v>-1</v>
      </c>
      <c r="G462">
        <v>3</v>
      </c>
      <c r="H462">
        <v>4</v>
      </c>
      <c r="I462">
        <v>12</v>
      </c>
      <c r="J462">
        <v>-22</v>
      </c>
      <c r="K462">
        <v>39</v>
      </c>
    </row>
    <row r="463" spans="1:11" x14ac:dyDescent="0.25">
      <c r="A463" t="s">
        <v>12</v>
      </c>
      <c r="B463">
        <v>2015</v>
      </c>
      <c r="C463">
        <v>5</v>
      </c>
      <c r="D463">
        <v>6</v>
      </c>
      <c r="E463">
        <v>8</v>
      </c>
      <c r="F463">
        <v>-7</v>
      </c>
      <c r="G463">
        <v>5</v>
      </c>
      <c r="H463">
        <v>2</v>
      </c>
      <c r="I463">
        <v>12</v>
      </c>
      <c r="J463">
        <v>-19</v>
      </c>
      <c r="K463">
        <v>38</v>
      </c>
    </row>
    <row r="464" spans="1:11" x14ac:dyDescent="0.25">
      <c r="A464" t="s">
        <v>39</v>
      </c>
      <c r="B464">
        <v>2015</v>
      </c>
      <c r="C464">
        <v>4</v>
      </c>
      <c r="D464">
        <v>8</v>
      </c>
      <c r="E464">
        <v>7</v>
      </c>
      <c r="F464">
        <v>-11</v>
      </c>
      <c r="G464">
        <v>3</v>
      </c>
      <c r="H464">
        <v>9</v>
      </c>
      <c r="I464">
        <v>7</v>
      </c>
      <c r="J464">
        <v>-11</v>
      </c>
      <c r="K464">
        <v>38</v>
      </c>
    </row>
    <row r="465" spans="1:11" x14ac:dyDescent="0.25">
      <c r="A465" t="s">
        <v>52</v>
      </c>
      <c r="B465">
        <v>2015</v>
      </c>
      <c r="C465">
        <v>5</v>
      </c>
      <c r="D465">
        <v>5</v>
      </c>
      <c r="E465">
        <v>9</v>
      </c>
      <c r="F465">
        <v>-5</v>
      </c>
      <c r="G465">
        <v>3</v>
      </c>
      <c r="H465">
        <v>6</v>
      </c>
      <c r="I465">
        <v>10</v>
      </c>
      <c r="J465">
        <v>-13</v>
      </c>
      <c r="K465">
        <v>35</v>
      </c>
    </row>
    <row r="466" spans="1:11" x14ac:dyDescent="0.25">
      <c r="A466" t="s">
        <v>53</v>
      </c>
      <c r="B466">
        <v>2015</v>
      </c>
      <c r="C466">
        <v>4</v>
      </c>
      <c r="D466">
        <v>7</v>
      </c>
      <c r="E466">
        <v>8</v>
      </c>
      <c r="F466">
        <v>-7</v>
      </c>
      <c r="G466">
        <v>3</v>
      </c>
      <c r="H466">
        <v>5</v>
      </c>
      <c r="I466">
        <v>11</v>
      </c>
      <c r="J466">
        <v>-18</v>
      </c>
      <c r="K466">
        <v>33</v>
      </c>
    </row>
    <row r="467" spans="1:11" x14ac:dyDescent="0.25">
      <c r="A467" t="s">
        <v>15</v>
      </c>
      <c r="B467">
        <v>2015</v>
      </c>
      <c r="C467">
        <v>6</v>
      </c>
      <c r="D467">
        <v>5</v>
      </c>
      <c r="E467">
        <v>8</v>
      </c>
      <c r="F467">
        <v>-1</v>
      </c>
      <c r="G467">
        <v>2</v>
      </c>
      <c r="H467">
        <v>1</v>
      </c>
      <c r="I467">
        <v>16</v>
      </c>
      <c r="J467">
        <v>-30</v>
      </c>
      <c r="K467">
        <v>30</v>
      </c>
    </row>
    <row r="468" spans="1:11" x14ac:dyDescent="0.25">
      <c r="A468" t="s">
        <v>36</v>
      </c>
      <c r="B468">
        <v>2016</v>
      </c>
      <c r="C468">
        <v>12</v>
      </c>
      <c r="D468">
        <v>6</v>
      </c>
      <c r="E468">
        <v>1</v>
      </c>
      <c r="F468">
        <v>17</v>
      </c>
      <c r="G468">
        <v>11</v>
      </c>
      <c r="H468">
        <v>6</v>
      </c>
      <c r="I468">
        <v>2</v>
      </c>
      <c r="J468">
        <v>15</v>
      </c>
      <c r="K468">
        <v>81</v>
      </c>
    </row>
    <row r="469" spans="1:11" x14ac:dyDescent="0.25">
      <c r="A469" t="s">
        <v>20</v>
      </c>
      <c r="B469">
        <v>2016</v>
      </c>
      <c r="C469">
        <v>12</v>
      </c>
      <c r="D469">
        <v>4</v>
      </c>
      <c r="E469">
        <v>3</v>
      </c>
      <c r="F469">
        <v>20</v>
      </c>
      <c r="G469">
        <v>8</v>
      </c>
      <c r="H469">
        <v>7</v>
      </c>
      <c r="I469">
        <v>4</v>
      </c>
      <c r="J469">
        <v>9</v>
      </c>
      <c r="K469">
        <v>71</v>
      </c>
    </row>
    <row r="470" spans="1:11" x14ac:dyDescent="0.25">
      <c r="A470" t="s">
        <v>16</v>
      </c>
      <c r="B470">
        <v>2016</v>
      </c>
      <c r="C470">
        <v>10</v>
      </c>
      <c r="D470">
        <v>6</v>
      </c>
      <c r="E470">
        <v>3</v>
      </c>
      <c r="F470">
        <v>20</v>
      </c>
      <c r="G470">
        <v>9</v>
      </c>
      <c r="H470">
        <v>7</v>
      </c>
      <c r="I470">
        <v>3</v>
      </c>
      <c r="J470">
        <v>14</v>
      </c>
      <c r="K470">
        <v>70</v>
      </c>
    </row>
    <row r="471" spans="1:11" x14ac:dyDescent="0.25">
      <c r="A471" t="s">
        <v>19</v>
      </c>
      <c r="B471">
        <v>2016</v>
      </c>
      <c r="C471">
        <v>12</v>
      </c>
      <c r="D471">
        <v>2</v>
      </c>
      <c r="E471">
        <v>5</v>
      </c>
      <c r="F471">
        <v>26</v>
      </c>
      <c r="G471">
        <v>7</v>
      </c>
      <c r="H471">
        <v>7</v>
      </c>
      <c r="I471">
        <v>5</v>
      </c>
      <c r="J471">
        <v>4</v>
      </c>
      <c r="K471">
        <v>66</v>
      </c>
    </row>
    <row r="472" spans="1:11" x14ac:dyDescent="0.25">
      <c r="A472" t="s">
        <v>11</v>
      </c>
      <c r="B472">
        <v>2016</v>
      </c>
      <c r="C472">
        <v>12</v>
      </c>
      <c r="D472">
        <v>5</v>
      </c>
      <c r="E472">
        <v>2</v>
      </c>
      <c r="F472">
        <v>18</v>
      </c>
      <c r="G472">
        <v>7</v>
      </c>
      <c r="H472">
        <v>4</v>
      </c>
      <c r="I472">
        <v>8</v>
      </c>
      <c r="J472">
        <v>-4</v>
      </c>
      <c r="K472">
        <v>66</v>
      </c>
    </row>
    <row r="473" spans="1:11" x14ac:dyDescent="0.25">
      <c r="A473" t="s">
        <v>28</v>
      </c>
      <c r="B473">
        <v>2016</v>
      </c>
      <c r="C473">
        <v>11</v>
      </c>
      <c r="D473">
        <v>3</v>
      </c>
      <c r="E473">
        <v>5</v>
      </c>
      <c r="F473">
        <v>17</v>
      </c>
      <c r="G473">
        <v>7</v>
      </c>
      <c r="H473">
        <v>6</v>
      </c>
      <c r="I473">
        <v>6</v>
      </c>
      <c r="J473">
        <v>1</v>
      </c>
      <c r="K473">
        <v>63</v>
      </c>
    </row>
    <row r="474" spans="1:11" x14ac:dyDescent="0.25">
      <c r="A474" t="s">
        <v>34</v>
      </c>
      <c r="B474">
        <v>2016</v>
      </c>
      <c r="C474">
        <v>9</v>
      </c>
      <c r="D474">
        <v>7</v>
      </c>
      <c r="E474">
        <v>3</v>
      </c>
      <c r="F474">
        <v>8</v>
      </c>
      <c r="G474">
        <v>7</v>
      </c>
      <c r="H474">
        <v>7</v>
      </c>
      <c r="I474">
        <v>5</v>
      </c>
      <c r="J474">
        <v>6</v>
      </c>
      <c r="K474">
        <v>62</v>
      </c>
    </row>
    <row r="475" spans="1:11" x14ac:dyDescent="0.25">
      <c r="A475" t="s">
        <v>17</v>
      </c>
      <c r="B475">
        <v>2016</v>
      </c>
      <c r="C475">
        <v>8</v>
      </c>
      <c r="D475">
        <v>8</v>
      </c>
      <c r="E475">
        <v>3</v>
      </c>
      <c r="F475">
        <v>11</v>
      </c>
      <c r="G475">
        <v>8</v>
      </c>
      <c r="H475">
        <v>4</v>
      </c>
      <c r="I475">
        <v>7</v>
      </c>
      <c r="J475">
        <v>2</v>
      </c>
      <c r="K475">
        <v>60</v>
      </c>
    </row>
    <row r="476" spans="1:11" x14ac:dyDescent="0.25">
      <c r="A476" t="s">
        <v>51</v>
      </c>
      <c r="B476">
        <v>2016</v>
      </c>
      <c r="C476">
        <v>8</v>
      </c>
      <c r="D476">
        <v>4</v>
      </c>
      <c r="E476">
        <v>7</v>
      </c>
      <c r="F476">
        <v>-2</v>
      </c>
      <c r="G476">
        <v>6</v>
      </c>
      <c r="H476">
        <v>5</v>
      </c>
      <c r="I476">
        <v>8</v>
      </c>
      <c r="J476">
        <v>-12</v>
      </c>
      <c r="K476">
        <v>51</v>
      </c>
    </row>
    <row r="477" spans="1:11" x14ac:dyDescent="0.25">
      <c r="A477" t="s">
        <v>21</v>
      </c>
      <c r="B477">
        <v>2016</v>
      </c>
      <c r="C477">
        <v>5</v>
      </c>
      <c r="D477">
        <v>9</v>
      </c>
      <c r="E477">
        <v>5</v>
      </c>
      <c r="F477">
        <v>2</v>
      </c>
      <c r="G477">
        <v>7</v>
      </c>
      <c r="H477">
        <v>5</v>
      </c>
      <c r="I477">
        <v>7</v>
      </c>
      <c r="J477">
        <v>4</v>
      </c>
      <c r="K477">
        <v>50</v>
      </c>
    </row>
    <row r="478" spans="1:11" x14ac:dyDescent="0.25">
      <c r="A478" t="s">
        <v>55</v>
      </c>
      <c r="B478">
        <v>2016</v>
      </c>
      <c r="C478">
        <v>8</v>
      </c>
      <c r="D478">
        <v>6</v>
      </c>
      <c r="E478">
        <v>5</v>
      </c>
      <c r="F478">
        <v>0</v>
      </c>
      <c r="G478">
        <v>4</v>
      </c>
      <c r="H478">
        <v>5</v>
      </c>
      <c r="I478">
        <v>10</v>
      </c>
      <c r="J478">
        <v>-10</v>
      </c>
      <c r="K478">
        <v>47</v>
      </c>
    </row>
    <row r="479" spans="1:11" x14ac:dyDescent="0.25">
      <c r="A479" t="s">
        <v>23</v>
      </c>
      <c r="B479">
        <v>2016</v>
      </c>
      <c r="C479">
        <v>6</v>
      </c>
      <c r="D479">
        <v>5</v>
      </c>
      <c r="E479">
        <v>8</v>
      </c>
      <c r="F479">
        <v>5</v>
      </c>
      <c r="G479">
        <v>5</v>
      </c>
      <c r="H479">
        <v>9</v>
      </c>
      <c r="I479">
        <v>5</v>
      </c>
      <c r="J479">
        <v>-1</v>
      </c>
      <c r="K479">
        <v>47</v>
      </c>
    </row>
    <row r="480" spans="1:11" x14ac:dyDescent="0.25">
      <c r="A480" t="s">
        <v>43</v>
      </c>
      <c r="B480">
        <v>2016</v>
      </c>
      <c r="C480">
        <v>6</v>
      </c>
      <c r="D480">
        <v>6</v>
      </c>
      <c r="E480">
        <v>7</v>
      </c>
      <c r="F480">
        <v>1</v>
      </c>
      <c r="G480">
        <v>6</v>
      </c>
      <c r="H480">
        <v>3</v>
      </c>
      <c r="I480">
        <v>10</v>
      </c>
      <c r="J480">
        <v>-11</v>
      </c>
      <c r="K480">
        <v>45</v>
      </c>
    </row>
    <row r="481" spans="1:11" x14ac:dyDescent="0.25">
      <c r="A481" t="s">
        <v>46</v>
      </c>
      <c r="B481">
        <v>2016</v>
      </c>
      <c r="C481">
        <v>6</v>
      </c>
      <c r="D481">
        <v>5</v>
      </c>
      <c r="E481">
        <v>8</v>
      </c>
      <c r="F481">
        <v>-6</v>
      </c>
      <c r="G481">
        <v>4</v>
      </c>
      <c r="H481">
        <v>8</v>
      </c>
      <c r="I481">
        <v>7</v>
      </c>
      <c r="J481">
        <v>-8</v>
      </c>
      <c r="K481">
        <v>43</v>
      </c>
    </row>
    <row r="482" spans="1:11" x14ac:dyDescent="0.25">
      <c r="A482" t="s">
        <v>29</v>
      </c>
      <c r="B482">
        <v>2016</v>
      </c>
      <c r="C482">
        <v>6</v>
      </c>
      <c r="D482">
        <v>3</v>
      </c>
      <c r="E482">
        <v>10</v>
      </c>
      <c r="F482">
        <v>-4</v>
      </c>
      <c r="G482">
        <v>5</v>
      </c>
      <c r="H482">
        <v>6</v>
      </c>
      <c r="I482">
        <v>8</v>
      </c>
      <c r="J482">
        <v>-8</v>
      </c>
      <c r="K482">
        <v>42</v>
      </c>
    </row>
    <row r="483" spans="1:11" x14ac:dyDescent="0.25">
      <c r="A483" t="s">
        <v>57</v>
      </c>
      <c r="B483">
        <v>2016</v>
      </c>
      <c r="C483">
        <v>5</v>
      </c>
      <c r="D483">
        <v>5</v>
      </c>
      <c r="E483">
        <v>9</v>
      </c>
      <c r="F483">
        <v>-11</v>
      </c>
      <c r="G483">
        <v>6</v>
      </c>
      <c r="H483">
        <v>4</v>
      </c>
      <c r="I483">
        <v>9</v>
      </c>
      <c r="J483">
        <v>-11</v>
      </c>
      <c r="K483">
        <v>42</v>
      </c>
    </row>
    <row r="484" spans="1:11" x14ac:dyDescent="0.25">
      <c r="A484" t="s">
        <v>39</v>
      </c>
      <c r="B484">
        <v>2016</v>
      </c>
      <c r="C484">
        <v>6</v>
      </c>
      <c r="D484">
        <v>6</v>
      </c>
      <c r="E484">
        <v>7</v>
      </c>
      <c r="F484">
        <v>3</v>
      </c>
      <c r="G484">
        <v>3</v>
      </c>
      <c r="H484">
        <v>6</v>
      </c>
      <c r="I484">
        <v>10</v>
      </c>
      <c r="J484">
        <v>-17</v>
      </c>
      <c r="K484">
        <v>39</v>
      </c>
    </row>
    <row r="485" spans="1:11" x14ac:dyDescent="0.25">
      <c r="A485" t="s">
        <v>33</v>
      </c>
      <c r="B485">
        <v>2016</v>
      </c>
      <c r="C485">
        <v>7</v>
      </c>
      <c r="D485">
        <v>7</v>
      </c>
      <c r="E485">
        <v>5</v>
      </c>
      <c r="F485">
        <v>8</v>
      </c>
      <c r="G485">
        <v>2</v>
      </c>
      <c r="H485">
        <v>3</v>
      </c>
      <c r="I485">
        <v>14</v>
      </c>
      <c r="J485">
        <v>-29</v>
      </c>
      <c r="K485">
        <v>37</v>
      </c>
    </row>
    <row r="486" spans="1:11" x14ac:dyDescent="0.25">
      <c r="A486" t="s">
        <v>13</v>
      </c>
      <c r="B486">
        <v>2016</v>
      </c>
      <c r="C486">
        <v>6</v>
      </c>
      <c r="D486">
        <v>5</v>
      </c>
      <c r="E486">
        <v>8</v>
      </c>
      <c r="F486">
        <v>-4</v>
      </c>
      <c r="G486">
        <v>3</v>
      </c>
      <c r="H486">
        <v>2</v>
      </c>
      <c r="I486">
        <v>14</v>
      </c>
      <c r="J486">
        <v>-24</v>
      </c>
      <c r="K486">
        <v>34</v>
      </c>
    </row>
    <row r="487" spans="1:11" x14ac:dyDescent="0.25">
      <c r="A487" t="s">
        <v>12</v>
      </c>
      <c r="B487">
        <v>2016</v>
      </c>
      <c r="C487">
        <v>2</v>
      </c>
      <c r="D487">
        <v>5</v>
      </c>
      <c r="E487">
        <v>12</v>
      </c>
      <c r="F487">
        <v>-21</v>
      </c>
      <c r="G487">
        <v>1</v>
      </c>
      <c r="H487">
        <v>3</v>
      </c>
      <c r="I487">
        <v>15</v>
      </c>
      <c r="J487">
        <v>-28</v>
      </c>
      <c r="K487">
        <v>17</v>
      </c>
    </row>
    <row r="488" spans="1:11" x14ac:dyDescent="0.25">
      <c r="A488" t="s">
        <v>21</v>
      </c>
      <c r="B488">
        <v>2017</v>
      </c>
      <c r="C488">
        <v>17</v>
      </c>
      <c r="D488">
        <v>0</v>
      </c>
      <c r="E488">
        <v>2</v>
      </c>
      <c r="F488">
        <v>38</v>
      </c>
      <c r="G488">
        <v>13</v>
      </c>
      <c r="H488">
        <v>3</v>
      </c>
      <c r="I488">
        <v>3</v>
      </c>
      <c r="J488">
        <v>14</v>
      </c>
      <c r="K488">
        <v>93</v>
      </c>
    </row>
    <row r="489" spans="1:11" x14ac:dyDescent="0.25">
      <c r="A489" t="s">
        <v>16</v>
      </c>
      <c r="B489">
        <v>2017</v>
      </c>
      <c r="C489">
        <v>17</v>
      </c>
      <c r="D489">
        <v>2</v>
      </c>
      <c r="E489">
        <v>0</v>
      </c>
      <c r="F489">
        <v>38</v>
      </c>
      <c r="G489">
        <v>9</v>
      </c>
      <c r="H489">
        <v>6</v>
      </c>
      <c r="I489">
        <v>4</v>
      </c>
      <c r="J489">
        <v>22</v>
      </c>
      <c r="K489">
        <v>86</v>
      </c>
    </row>
    <row r="490" spans="1:11" x14ac:dyDescent="0.25">
      <c r="A490" t="s">
        <v>19</v>
      </c>
      <c r="B490">
        <v>2017</v>
      </c>
      <c r="C490">
        <v>11</v>
      </c>
      <c r="D490">
        <v>7</v>
      </c>
      <c r="E490">
        <v>1</v>
      </c>
      <c r="F490">
        <v>20</v>
      </c>
      <c r="G490">
        <v>12</v>
      </c>
      <c r="H490">
        <v>2</v>
      </c>
      <c r="I490">
        <v>5</v>
      </c>
      <c r="J490">
        <v>21</v>
      </c>
      <c r="K490">
        <v>78</v>
      </c>
    </row>
    <row r="491" spans="1:11" x14ac:dyDescent="0.25">
      <c r="A491" t="s">
        <v>17</v>
      </c>
      <c r="B491">
        <v>2017</v>
      </c>
      <c r="C491">
        <v>12</v>
      </c>
      <c r="D491">
        <v>5</v>
      </c>
      <c r="E491">
        <v>2</v>
      </c>
      <c r="F491">
        <v>27</v>
      </c>
      <c r="G491">
        <v>10</v>
      </c>
      <c r="H491">
        <v>5</v>
      </c>
      <c r="I491">
        <v>4</v>
      </c>
      <c r="J491">
        <v>9</v>
      </c>
      <c r="K491">
        <v>76</v>
      </c>
    </row>
    <row r="492" spans="1:11" x14ac:dyDescent="0.25">
      <c r="A492" t="s">
        <v>20</v>
      </c>
      <c r="B492">
        <v>2017</v>
      </c>
      <c r="C492">
        <v>14</v>
      </c>
      <c r="D492">
        <v>3</v>
      </c>
      <c r="E492">
        <v>2</v>
      </c>
      <c r="F492">
        <v>23</v>
      </c>
      <c r="G492">
        <v>9</v>
      </c>
      <c r="H492">
        <v>3</v>
      </c>
      <c r="I492">
        <v>7</v>
      </c>
      <c r="J492">
        <v>10</v>
      </c>
      <c r="K492">
        <v>75</v>
      </c>
    </row>
    <row r="493" spans="1:11" x14ac:dyDescent="0.25">
      <c r="A493" t="s">
        <v>11</v>
      </c>
      <c r="B493">
        <v>2017</v>
      </c>
      <c r="C493">
        <v>8</v>
      </c>
      <c r="D493">
        <v>10</v>
      </c>
      <c r="E493">
        <v>1</v>
      </c>
      <c r="F493">
        <v>14</v>
      </c>
      <c r="G493">
        <v>10</v>
      </c>
      <c r="H493">
        <v>5</v>
      </c>
      <c r="I493">
        <v>4</v>
      </c>
      <c r="J493">
        <v>11</v>
      </c>
      <c r="K493">
        <v>69</v>
      </c>
    </row>
    <row r="494" spans="1:11" x14ac:dyDescent="0.25">
      <c r="A494" t="s">
        <v>23</v>
      </c>
      <c r="B494">
        <v>2017</v>
      </c>
      <c r="C494">
        <v>13</v>
      </c>
      <c r="D494">
        <v>4</v>
      </c>
      <c r="E494">
        <v>2</v>
      </c>
      <c r="F494">
        <v>26</v>
      </c>
      <c r="G494">
        <v>4</v>
      </c>
      <c r="H494">
        <v>6</v>
      </c>
      <c r="I494">
        <v>9</v>
      </c>
      <c r="J494">
        <v>-8</v>
      </c>
      <c r="K494">
        <v>61</v>
      </c>
    </row>
    <row r="495" spans="1:11" x14ac:dyDescent="0.25">
      <c r="A495" t="s">
        <v>57</v>
      </c>
      <c r="B495">
        <v>2017</v>
      </c>
      <c r="C495">
        <v>9</v>
      </c>
      <c r="D495">
        <v>4</v>
      </c>
      <c r="E495">
        <v>6</v>
      </c>
      <c r="F495">
        <v>6</v>
      </c>
      <c r="G495">
        <v>3</v>
      </c>
      <c r="H495">
        <v>6</v>
      </c>
      <c r="I495">
        <v>10</v>
      </c>
      <c r="J495">
        <v>-18</v>
      </c>
      <c r="K495">
        <v>46</v>
      </c>
    </row>
    <row r="496" spans="1:11" x14ac:dyDescent="0.25">
      <c r="A496" t="s">
        <v>28</v>
      </c>
      <c r="B496">
        <v>2017</v>
      </c>
      <c r="C496">
        <v>6</v>
      </c>
      <c r="D496">
        <v>6</v>
      </c>
      <c r="E496">
        <v>7</v>
      </c>
      <c r="F496">
        <v>-4</v>
      </c>
      <c r="G496">
        <v>6</v>
      </c>
      <c r="H496">
        <v>4</v>
      </c>
      <c r="I496">
        <v>9</v>
      </c>
      <c r="J496">
        <v>-3</v>
      </c>
      <c r="K496">
        <v>46</v>
      </c>
    </row>
    <row r="497" spans="1:11" x14ac:dyDescent="0.25">
      <c r="A497" t="s">
        <v>34</v>
      </c>
      <c r="B497">
        <v>2017</v>
      </c>
      <c r="C497">
        <v>7</v>
      </c>
      <c r="D497">
        <v>4</v>
      </c>
      <c r="E497">
        <v>8</v>
      </c>
      <c r="F497">
        <v>-12</v>
      </c>
      <c r="G497">
        <v>5</v>
      </c>
      <c r="H497">
        <v>5</v>
      </c>
      <c r="I497">
        <v>9</v>
      </c>
      <c r="J497">
        <v>-5</v>
      </c>
      <c r="K497">
        <v>45</v>
      </c>
    </row>
    <row r="498" spans="1:11" x14ac:dyDescent="0.25">
      <c r="A498" t="s">
        <v>46</v>
      </c>
      <c r="B498">
        <v>2017</v>
      </c>
      <c r="C498">
        <v>9</v>
      </c>
      <c r="D498">
        <v>2</v>
      </c>
      <c r="E498">
        <v>8</v>
      </c>
      <c r="F498">
        <v>5</v>
      </c>
      <c r="G498">
        <v>3</v>
      </c>
      <c r="H498">
        <v>7</v>
      </c>
      <c r="I498">
        <v>9</v>
      </c>
      <c r="J498">
        <v>-13</v>
      </c>
      <c r="K498">
        <v>45</v>
      </c>
    </row>
    <row r="499" spans="1:11" x14ac:dyDescent="0.25">
      <c r="A499" t="s">
        <v>36</v>
      </c>
      <c r="B499">
        <v>2017</v>
      </c>
      <c r="C499">
        <v>10</v>
      </c>
      <c r="D499">
        <v>4</v>
      </c>
      <c r="E499">
        <v>5</v>
      </c>
      <c r="F499">
        <v>6</v>
      </c>
      <c r="G499">
        <v>2</v>
      </c>
      <c r="H499">
        <v>4</v>
      </c>
      <c r="I499">
        <v>13</v>
      </c>
      <c r="J499">
        <v>-21</v>
      </c>
      <c r="K499">
        <v>44</v>
      </c>
    </row>
    <row r="500" spans="1:11" x14ac:dyDescent="0.25">
      <c r="A500" t="s">
        <v>51</v>
      </c>
      <c r="B500">
        <v>2017</v>
      </c>
      <c r="C500">
        <v>7</v>
      </c>
      <c r="D500">
        <v>6</v>
      </c>
      <c r="E500">
        <v>6</v>
      </c>
      <c r="F500">
        <v>0</v>
      </c>
      <c r="G500">
        <v>4</v>
      </c>
      <c r="H500">
        <v>5</v>
      </c>
      <c r="I500">
        <v>10</v>
      </c>
      <c r="J500">
        <v>-15</v>
      </c>
      <c r="K500">
        <v>44</v>
      </c>
    </row>
    <row r="501" spans="1:11" x14ac:dyDescent="0.25">
      <c r="A501" t="s">
        <v>29</v>
      </c>
      <c r="B501">
        <v>2017</v>
      </c>
      <c r="C501">
        <v>6</v>
      </c>
      <c r="D501">
        <v>2</v>
      </c>
      <c r="E501">
        <v>11</v>
      </c>
      <c r="F501">
        <v>-1</v>
      </c>
      <c r="G501">
        <v>6</v>
      </c>
      <c r="H501">
        <v>3</v>
      </c>
      <c r="I501">
        <v>10</v>
      </c>
      <c r="J501">
        <v>-12</v>
      </c>
      <c r="K501">
        <v>41</v>
      </c>
    </row>
    <row r="502" spans="1:11" x14ac:dyDescent="0.25">
      <c r="A502" t="s">
        <v>55</v>
      </c>
      <c r="B502">
        <v>2017</v>
      </c>
      <c r="C502">
        <v>8</v>
      </c>
      <c r="D502">
        <v>3</v>
      </c>
      <c r="E502">
        <v>8</v>
      </c>
      <c r="F502">
        <v>-7</v>
      </c>
      <c r="G502">
        <v>4</v>
      </c>
      <c r="H502">
        <v>2</v>
      </c>
      <c r="I502">
        <v>13</v>
      </c>
      <c r="J502">
        <v>-18</v>
      </c>
      <c r="K502">
        <v>41</v>
      </c>
    </row>
    <row r="503" spans="1:11" x14ac:dyDescent="0.25">
      <c r="A503" t="s">
        <v>43</v>
      </c>
      <c r="B503">
        <v>2017</v>
      </c>
      <c r="C503">
        <v>8</v>
      </c>
      <c r="D503">
        <v>4</v>
      </c>
      <c r="E503">
        <v>7</v>
      </c>
      <c r="F503">
        <v>-4</v>
      </c>
      <c r="G503">
        <v>3</v>
      </c>
      <c r="H503">
        <v>3</v>
      </c>
      <c r="I503">
        <v>13</v>
      </c>
      <c r="J503">
        <v>-24</v>
      </c>
      <c r="K503">
        <v>40</v>
      </c>
    </row>
    <row r="504" spans="1:11" x14ac:dyDescent="0.25">
      <c r="A504" t="s">
        <v>53</v>
      </c>
      <c r="B504">
        <v>2017</v>
      </c>
      <c r="C504">
        <v>10</v>
      </c>
      <c r="D504">
        <v>3</v>
      </c>
      <c r="E504">
        <v>6</v>
      </c>
      <c r="F504">
        <v>6</v>
      </c>
      <c r="G504">
        <v>1</v>
      </c>
      <c r="H504">
        <v>4</v>
      </c>
      <c r="I504">
        <v>14</v>
      </c>
      <c r="J504">
        <v>-22</v>
      </c>
      <c r="K504">
        <v>40</v>
      </c>
    </row>
    <row r="505" spans="1:11" x14ac:dyDescent="0.25">
      <c r="A505" t="s">
        <v>52</v>
      </c>
      <c r="B505">
        <v>2017</v>
      </c>
      <c r="C505">
        <v>8</v>
      </c>
      <c r="D505">
        <v>4</v>
      </c>
      <c r="E505">
        <v>7</v>
      </c>
      <c r="F505">
        <v>-7</v>
      </c>
      <c r="G505">
        <v>1</v>
      </c>
      <c r="H505">
        <v>3</v>
      </c>
      <c r="I505">
        <v>15</v>
      </c>
      <c r="J505">
        <v>-36</v>
      </c>
      <c r="K505">
        <v>34</v>
      </c>
    </row>
    <row r="506" spans="1:11" x14ac:dyDescent="0.25">
      <c r="A506" t="s">
        <v>31</v>
      </c>
      <c r="B506">
        <v>2017</v>
      </c>
      <c r="C506">
        <v>4</v>
      </c>
      <c r="D506">
        <v>6</v>
      </c>
      <c r="E506">
        <v>9</v>
      </c>
      <c r="F506">
        <v>-6</v>
      </c>
      <c r="G506">
        <v>1</v>
      </c>
      <c r="H506">
        <v>7</v>
      </c>
      <c r="I506">
        <v>11</v>
      </c>
      <c r="J506">
        <v>-20</v>
      </c>
      <c r="K506">
        <v>28</v>
      </c>
    </row>
    <row r="507" spans="1:11" x14ac:dyDescent="0.25">
      <c r="A507" t="s">
        <v>39</v>
      </c>
      <c r="B507">
        <v>2017</v>
      </c>
      <c r="C507">
        <v>3</v>
      </c>
      <c r="D507">
        <v>5</v>
      </c>
      <c r="E507">
        <v>11</v>
      </c>
      <c r="F507">
        <v>-18</v>
      </c>
      <c r="G507">
        <v>3</v>
      </c>
      <c r="H507">
        <v>1</v>
      </c>
      <c r="I507">
        <v>15</v>
      </c>
      <c r="J507">
        <v>-22</v>
      </c>
      <c r="K507">
        <v>24</v>
      </c>
    </row>
    <row r="508" spans="1:11" x14ac:dyDescent="0.25">
      <c r="A508" t="s">
        <v>19</v>
      </c>
      <c r="B508">
        <v>2018</v>
      </c>
      <c r="C508">
        <v>16</v>
      </c>
      <c r="D508">
        <v>2</v>
      </c>
      <c r="E508">
        <v>1</v>
      </c>
      <c r="F508">
        <v>47</v>
      </c>
      <c r="G508">
        <v>16</v>
      </c>
      <c r="H508">
        <v>2</v>
      </c>
      <c r="I508">
        <v>1</v>
      </c>
      <c r="J508">
        <v>32</v>
      </c>
      <c r="K508">
        <v>100</v>
      </c>
    </row>
    <row r="509" spans="1:11" x14ac:dyDescent="0.25">
      <c r="A509" t="s">
        <v>11</v>
      </c>
      <c r="B509">
        <v>2018</v>
      </c>
      <c r="C509">
        <v>15</v>
      </c>
      <c r="D509">
        <v>2</v>
      </c>
      <c r="E509">
        <v>2</v>
      </c>
      <c r="F509">
        <v>29</v>
      </c>
      <c r="G509">
        <v>10</v>
      </c>
      <c r="H509">
        <v>4</v>
      </c>
      <c r="I509">
        <v>5</v>
      </c>
      <c r="J509">
        <v>11</v>
      </c>
      <c r="K509">
        <v>81</v>
      </c>
    </row>
    <row r="510" spans="1:11" x14ac:dyDescent="0.25">
      <c r="A510" t="s">
        <v>16</v>
      </c>
      <c r="B510">
        <v>2018</v>
      </c>
      <c r="C510">
        <v>13</v>
      </c>
      <c r="D510">
        <v>4</v>
      </c>
      <c r="E510">
        <v>2</v>
      </c>
      <c r="F510">
        <v>24</v>
      </c>
      <c r="G510">
        <v>10</v>
      </c>
      <c r="H510">
        <v>4</v>
      </c>
      <c r="I510">
        <v>5</v>
      </c>
      <c r="J510">
        <v>14</v>
      </c>
      <c r="K510">
        <v>77</v>
      </c>
    </row>
    <row r="511" spans="1:11" x14ac:dyDescent="0.25">
      <c r="A511" t="s">
        <v>17</v>
      </c>
      <c r="B511">
        <v>2018</v>
      </c>
      <c r="C511">
        <v>12</v>
      </c>
      <c r="D511">
        <v>7</v>
      </c>
      <c r="E511">
        <v>0</v>
      </c>
      <c r="F511">
        <v>35</v>
      </c>
      <c r="G511">
        <v>9</v>
      </c>
      <c r="H511">
        <v>5</v>
      </c>
      <c r="I511">
        <v>5</v>
      </c>
      <c r="J511">
        <v>11</v>
      </c>
      <c r="K511">
        <v>75</v>
      </c>
    </row>
    <row r="512" spans="1:11" x14ac:dyDescent="0.25">
      <c r="A512" t="s">
        <v>21</v>
      </c>
      <c r="B512">
        <v>2018</v>
      </c>
      <c r="C512">
        <v>11</v>
      </c>
      <c r="D512">
        <v>4</v>
      </c>
      <c r="E512">
        <v>4</v>
      </c>
      <c r="F512">
        <v>14</v>
      </c>
      <c r="G512">
        <v>10</v>
      </c>
      <c r="H512">
        <v>3</v>
      </c>
      <c r="I512">
        <v>6</v>
      </c>
      <c r="J512">
        <v>10</v>
      </c>
      <c r="K512">
        <v>70</v>
      </c>
    </row>
    <row r="513" spans="1:11" x14ac:dyDescent="0.25">
      <c r="A513" t="s">
        <v>20</v>
      </c>
      <c r="B513">
        <v>2018</v>
      </c>
      <c r="C513">
        <v>15</v>
      </c>
      <c r="D513">
        <v>2</v>
      </c>
      <c r="E513">
        <v>2</v>
      </c>
      <c r="F513">
        <v>34</v>
      </c>
      <c r="G513">
        <v>4</v>
      </c>
      <c r="H513">
        <v>4</v>
      </c>
      <c r="I513">
        <v>11</v>
      </c>
      <c r="J513">
        <v>-11</v>
      </c>
      <c r="K513">
        <v>63</v>
      </c>
    </row>
    <row r="514" spans="1:11" x14ac:dyDescent="0.25">
      <c r="A514" t="s">
        <v>53</v>
      </c>
      <c r="B514">
        <v>2018</v>
      </c>
      <c r="C514">
        <v>7</v>
      </c>
      <c r="D514">
        <v>5</v>
      </c>
      <c r="E514">
        <v>7</v>
      </c>
      <c r="F514">
        <v>-1</v>
      </c>
      <c r="G514">
        <v>7</v>
      </c>
      <c r="H514">
        <v>7</v>
      </c>
      <c r="I514">
        <v>5</v>
      </c>
      <c r="J514">
        <v>-2</v>
      </c>
      <c r="K514">
        <v>54</v>
      </c>
    </row>
    <row r="515" spans="1:11" x14ac:dyDescent="0.25">
      <c r="A515" t="s">
        <v>23</v>
      </c>
      <c r="B515">
        <v>2018</v>
      </c>
      <c r="C515">
        <v>10</v>
      </c>
      <c r="D515">
        <v>4</v>
      </c>
      <c r="E515">
        <v>5</v>
      </c>
      <c r="F515">
        <v>6</v>
      </c>
      <c r="G515">
        <v>3</v>
      </c>
      <c r="H515">
        <v>6</v>
      </c>
      <c r="I515">
        <v>10</v>
      </c>
      <c r="J515">
        <v>-20</v>
      </c>
      <c r="K515">
        <v>49</v>
      </c>
    </row>
    <row r="516" spans="1:11" x14ac:dyDescent="0.25">
      <c r="A516" t="s">
        <v>36</v>
      </c>
      <c r="B516">
        <v>2018</v>
      </c>
      <c r="C516">
        <v>7</v>
      </c>
      <c r="D516">
        <v>6</v>
      </c>
      <c r="E516">
        <v>6</v>
      </c>
      <c r="F516">
        <v>3</v>
      </c>
      <c r="G516">
        <v>5</v>
      </c>
      <c r="H516">
        <v>5</v>
      </c>
      <c r="I516">
        <v>9</v>
      </c>
      <c r="J516">
        <v>-7</v>
      </c>
      <c r="K516">
        <v>47</v>
      </c>
    </row>
    <row r="517" spans="1:11" x14ac:dyDescent="0.25">
      <c r="A517" t="s">
        <v>29</v>
      </c>
      <c r="B517">
        <v>2018</v>
      </c>
      <c r="C517">
        <v>7</v>
      </c>
      <c r="D517">
        <v>5</v>
      </c>
      <c r="E517">
        <v>7</v>
      </c>
      <c r="F517">
        <v>2</v>
      </c>
      <c r="G517">
        <v>4</v>
      </c>
      <c r="H517">
        <v>6</v>
      </c>
      <c r="I517">
        <v>9</v>
      </c>
      <c r="J517">
        <v>-12</v>
      </c>
      <c r="K517">
        <v>44</v>
      </c>
    </row>
    <row r="518" spans="1:11" x14ac:dyDescent="0.25">
      <c r="A518" t="s">
        <v>33</v>
      </c>
      <c r="B518">
        <v>2018</v>
      </c>
      <c r="C518">
        <v>8</v>
      </c>
      <c r="D518">
        <v>4</v>
      </c>
      <c r="E518">
        <v>7</v>
      </c>
      <c r="F518">
        <v>4</v>
      </c>
      <c r="G518">
        <v>4</v>
      </c>
      <c r="H518">
        <v>4</v>
      </c>
      <c r="I518">
        <v>11</v>
      </c>
      <c r="J518">
        <v>-12</v>
      </c>
      <c r="K518">
        <v>44</v>
      </c>
    </row>
    <row r="519" spans="1:11" x14ac:dyDescent="0.25">
      <c r="A519" t="s">
        <v>57</v>
      </c>
      <c r="B519">
        <v>2018</v>
      </c>
      <c r="C519">
        <v>7</v>
      </c>
      <c r="D519">
        <v>5</v>
      </c>
      <c r="E519">
        <v>7</v>
      </c>
      <c r="F519">
        <v>-4</v>
      </c>
      <c r="G519">
        <v>4</v>
      </c>
      <c r="H519">
        <v>6</v>
      </c>
      <c r="I519">
        <v>9</v>
      </c>
      <c r="J519">
        <v>-12</v>
      </c>
      <c r="K519">
        <v>44</v>
      </c>
    </row>
    <row r="520" spans="1:11" x14ac:dyDescent="0.25">
      <c r="A520" t="s">
        <v>34</v>
      </c>
      <c r="B520">
        <v>2018</v>
      </c>
      <c r="C520">
        <v>7</v>
      </c>
      <c r="D520">
        <v>6</v>
      </c>
      <c r="E520">
        <v>6</v>
      </c>
      <c r="F520">
        <v>-2</v>
      </c>
      <c r="G520">
        <v>3</v>
      </c>
      <c r="H520">
        <v>6</v>
      </c>
      <c r="I520">
        <v>10</v>
      </c>
      <c r="J520">
        <v>-18</v>
      </c>
      <c r="K520">
        <v>42</v>
      </c>
    </row>
    <row r="521" spans="1:11" x14ac:dyDescent="0.25">
      <c r="A521" t="s">
        <v>43</v>
      </c>
      <c r="B521">
        <v>2018</v>
      </c>
      <c r="C521">
        <v>7</v>
      </c>
      <c r="D521">
        <v>6</v>
      </c>
      <c r="E521">
        <v>6</v>
      </c>
      <c r="F521">
        <v>-4</v>
      </c>
      <c r="G521">
        <v>4</v>
      </c>
      <c r="H521">
        <v>2</v>
      </c>
      <c r="I521">
        <v>13</v>
      </c>
      <c r="J521">
        <v>-16</v>
      </c>
      <c r="K521">
        <v>41</v>
      </c>
    </row>
    <row r="522" spans="1:11" x14ac:dyDescent="0.25">
      <c r="A522" t="s">
        <v>58</v>
      </c>
      <c r="B522">
        <v>2018</v>
      </c>
      <c r="C522">
        <v>7</v>
      </c>
      <c r="D522">
        <v>8</v>
      </c>
      <c r="E522">
        <v>4</v>
      </c>
      <c r="F522">
        <v>-1</v>
      </c>
      <c r="G522">
        <v>2</v>
      </c>
      <c r="H522">
        <v>5</v>
      </c>
      <c r="I522">
        <v>12</v>
      </c>
      <c r="J522">
        <v>-19</v>
      </c>
      <c r="K522">
        <v>40</v>
      </c>
    </row>
    <row r="523" spans="1:11" x14ac:dyDescent="0.25">
      <c r="A523" t="s">
        <v>59</v>
      </c>
      <c r="B523">
        <v>2018</v>
      </c>
      <c r="C523">
        <v>6</v>
      </c>
      <c r="D523">
        <v>5</v>
      </c>
      <c r="E523">
        <v>8</v>
      </c>
      <c r="F523">
        <v>-9</v>
      </c>
      <c r="G523">
        <v>3</v>
      </c>
      <c r="H523">
        <v>5</v>
      </c>
      <c r="I523">
        <v>11</v>
      </c>
      <c r="J523">
        <v>-21</v>
      </c>
      <c r="K523">
        <v>37</v>
      </c>
    </row>
    <row r="524" spans="1:11" x14ac:dyDescent="0.25">
      <c r="A524" t="s">
        <v>28</v>
      </c>
      <c r="B524">
        <v>2018</v>
      </c>
      <c r="C524">
        <v>4</v>
      </c>
      <c r="D524">
        <v>7</v>
      </c>
      <c r="E524">
        <v>8</v>
      </c>
      <c r="F524">
        <v>-6</v>
      </c>
      <c r="G524">
        <v>3</v>
      </c>
      <c r="H524">
        <v>8</v>
      </c>
      <c r="I524">
        <v>8</v>
      </c>
      <c r="J524">
        <v>-13</v>
      </c>
      <c r="K524">
        <v>36</v>
      </c>
    </row>
    <row r="525" spans="1:11" x14ac:dyDescent="0.25">
      <c r="A525" t="s">
        <v>51</v>
      </c>
      <c r="B525">
        <v>2018</v>
      </c>
      <c r="C525">
        <v>5</v>
      </c>
      <c r="D525">
        <v>5</v>
      </c>
      <c r="E525">
        <v>9</v>
      </c>
      <c r="F525">
        <v>-10</v>
      </c>
      <c r="G525">
        <v>2</v>
      </c>
      <c r="H525">
        <v>7</v>
      </c>
      <c r="I525">
        <v>10</v>
      </c>
      <c r="J525">
        <v>-23</v>
      </c>
      <c r="K525">
        <v>33</v>
      </c>
    </row>
    <row r="526" spans="1:11" x14ac:dyDescent="0.25">
      <c r="A526" t="s">
        <v>55</v>
      </c>
      <c r="B526">
        <v>2018</v>
      </c>
      <c r="C526">
        <v>6</v>
      </c>
      <c r="D526">
        <v>3</v>
      </c>
      <c r="E526">
        <v>10</v>
      </c>
      <c r="F526">
        <v>-7</v>
      </c>
      <c r="G526">
        <v>2</v>
      </c>
      <c r="H526">
        <v>6</v>
      </c>
      <c r="I526">
        <v>11</v>
      </c>
      <c r="J526">
        <v>-21</v>
      </c>
      <c r="K526">
        <v>33</v>
      </c>
    </row>
    <row r="527" spans="1:11" x14ac:dyDescent="0.25">
      <c r="A527" t="s">
        <v>46</v>
      </c>
      <c r="B527">
        <v>2018</v>
      </c>
      <c r="C527">
        <v>3</v>
      </c>
      <c r="D527">
        <v>9</v>
      </c>
      <c r="E527">
        <v>7</v>
      </c>
      <c r="F527">
        <v>-8</v>
      </c>
      <c r="G527">
        <v>3</v>
      </c>
      <c r="H527">
        <v>4</v>
      </c>
      <c r="I527">
        <v>12</v>
      </c>
      <c r="J527">
        <v>-17</v>
      </c>
      <c r="K527">
        <v>31</v>
      </c>
    </row>
    <row r="528" spans="1:11" x14ac:dyDescent="0.25">
      <c r="A528" t="s">
        <v>19</v>
      </c>
      <c r="B528">
        <v>2019</v>
      </c>
      <c r="C528">
        <v>18</v>
      </c>
      <c r="D528">
        <v>0</v>
      </c>
      <c r="E528">
        <v>1</v>
      </c>
      <c r="F528">
        <v>45</v>
      </c>
      <c r="G528">
        <v>14</v>
      </c>
      <c r="H528">
        <v>2</v>
      </c>
      <c r="I528">
        <v>3</v>
      </c>
      <c r="J528">
        <v>27</v>
      </c>
      <c r="K528">
        <v>98</v>
      </c>
    </row>
    <row r="529" spans="1:11" x14ac:dyDescent="0.25">
      <c r="A529" t="s">
        <v>17</v>
      </c>
      <c r="B529">
        <v>2019</v>
      </c>
      <c r="C529">
        <v>17</v>
      </c>
      <c r="D529">
        <v>2</v>
      </c>
      <c r="E529">
        <v>0</v>
      </c>
      <c r="F529">
        <v>45</v>
      </c>
      <c r="G529">
        <v>13</v>
      </c>
      <c r="H529">
        <v>5</v>
      </c>
      <c r="I529">
        <v>1</v>
      </c>
      <c r="J529">
        <v>22</v>
      </c>
      <c r="K529">
        <v>97</v>
      </c>
    </row>
    <row r="530" spans="1:11" x14ac:dyDescent="0.25">
      <c r="A530" t="s">
        <v>21</v>
      </c>
      <c r="B530">
        <v>2019</v>
      </c>
      <c r="C530">
        <v>12</v>
      </c>
      <c r="D530">
        <v>6</v>
      </c>
      <c r="E530">
        <v>1</v>
      </c>
      <c r="F530">
        <v>27</v>
      </c>
      <c r="G530">
        <v>9</v>
      </c>
      <c r="H530">
        <v>3</v>
      </c>
      <c r="I530">
        <v>7</v>
      </c>
      <c r="J530">
        <v>-3</v>
      </c>
      <c r="K530">
        <v>72</v>
      </c>
    </row>
    <row r="531" spans="1:11" x14ac:dyDescent="0.25">
      <c r="A531" t="s">
        <v>16</v>
      </c>
      <c r="B531">
        <v>2019</v>
      </c>
      <c r="C531">
        <v>12</v>
      </c>
      <c r="D531">
        <v>2</v>
      </c>
      <c r="E531">
        <v>5</v>
      </c>
      <c r="F531">
        <v>18</v>
      </c>
      <c r="G531">
        <v>11</v>
      </c>
      <c r="H531">
        <v>0</v>
      </c>
      <c r="I531">
        <v>8</v>
      </c>
      <c r="J531">
        <v>10</v>
      </c>
      <c r="K531">
        <v>71</v>
      </c>
    </row>
    <row r="532" spans="1:11" x14ac:dyDescent="0.25">
      <c r="A532" t="s">
        <v>20</v>
      </c>
      <c r="B532">
        <v>2019</v>
      </c>
      <c r="C532">
        <v>14</v>
      </c>
      <c r="D532">
        <v>3</v>
      </c>
      <c r="E532">
        <v>2</v>
      </c>
      <c r="F532">
        <v>26</v>
      </c>
      <c r="G532">
        <v>7</v>
      </c>
      <c r="H532">
        <v>4</v>
      </c>
      <c r="I532">
        <v>8</v>
      </c>
      <c r="J532">
        <v>-4</v>
      </c>
      <c r="K532">
        <v>70</v>
      </c>
    </row>
    <row r="533" spans="1:11" x14ac:dyDescent="0.25">
      <c r="A533" t="s">
        <v>11</v>
      </c>
      <c r="B533">
        <v>2019</v>
      </c>
      <c r="C533">
        <v>10</v>
      </c>
      <c r="D533">
        <v>6</v>
      </c>
      <c r="E533">
        <v>3</v>
      </c>
      <c r="F533">
        <v>8</v>
      </c>
      <c r="G533">
        <v>9</v>
      </c>
      <c r="H533">
        <v>3</v>
      </c>
      <c r="I533">
        <v>7</v>
      </c>
      <c r="J533">
        <v>3</v>
      </c>
      <c r="K533">
        <v>66</v>
      </c>
    </row>
    <row r="534" spans="1:11" x14ac:dyDescent="0.25">
      <c r="A534" t="s">
        <v>48</v>
      </c>
      <c r="B534">
        <v>2019</v>
      </c>
      <c r="C534">
        <v>10</v>
      </c>
      <c r="D534">
        <v>4</v>
      </c>
      <c r="E534">
        <v>5</v>
      </c>
      <c r="F534">
        <v>7</v>
      </c>
      <c r="G534">
        <v>6</v>
      </c>
      <c r="H534">
        <v>5</v>
      </c>
      <c r="I534">
        <v>8</v>
      </c>
      <c r="J534">
        <v>-6</v>
      </c>
      <c r="K534">
        <v>57</v>
      </c>
    </row>
    <row r="535" spans="1:11" x14ac:dyDescent="0.25">
      <c r="A535" t="s">
        <v>23</v>
      </c>
      <c r="B535">
        <v>2019</v>
      </c>
      <c r="C535">
        <v>10</v>
      </c>
      <c r="D535">
        <v>4</v>
      </c>
      <c r="E535">
        <v>5</v>
      </c>
      <c r="F535">
        <v>9</v>
      </c>
      <c r="G535">
        <v>5</v>
      </c>
      <c r="H535">
        <v>5</v>
      </c>
      <c r="I535">
        <v>9</v>
      </c>
      <c r="J535">
        <v>-1</v>
      </c>
      <c r="K535">
        <v>54</v>
      </c>
    </row>
    <row r="536" spans="1:11" x14ac:dyDescent="0.25">
      <c r="A536" t="s">
        <v>36</v>
      </c>
      <c r="B536">
        <v>2019</v>
      </c>
      <c r="C536">
        <v>8</v>
      </c>
      <c r="D536">
        <v>3</v>
      </c>
      <c r="E536">
        <v>8</v>
      </c>
      <c r="F536">
        <v>4</v>
      </c>
      <c r="G536">
        <v>7</v>
      </c>
      <c r="H536">
        <v>4</v>
      </c>
      <c r="I536">
        <v>8</v>
      </c>
      <c r="J536">
        <v>-1</v>
      </c>
      <c r="K536">
        <v>52</v>
      </c>
    </row>
    <row r="537" spans="1:11" x14ac:dyDescent="0.25">
      <c r="A537" t="s">
        <v>34</v>
      </c>
      <c r="B537">
        <v>2019</v>
      </c>
      <c r="C537">
        <v>9</v>
      </c>
      <c r="D537">
        <v>4</v>
      </c>
      <c r="E537">
        <v>6</v>
      </c>
      <c r="F537">
        <v>5</v>
      </c>
      <c r="G537">
        <v>6</v>
      </c>
      <c r="H537">
        <v>3</v>
      </c>
      <c r="I537">
        <v>10</v>
      </c>
      <c r="J537">
        <v>-8</v>
      </c>
      <c r="K537">
        <v>52</v>
      </c>
    </row>
    <row r="538" spans="1:11" x14ac:dyDescent="0.25">
      <c r="A538" t="s">
        <v>43</v>
      </c>
      <c r="B538">
        <v>2019</v>
      </c>
      <c r="C538">
        <v>8</v>
      </c>
      <c r="D538">
        <v>3</v>
      </c>
      <c r="E538">
        <v>8</v>
      </c>
      <c r="F538">
        <v>-2</v>
      </c>
      <c r="G538">
        <v>6</v>
      </c>
      <c r="H538">
        <v>5</v>
      </c>
      <c r="I538">
        <v>8</v>
      </c>
      <c r="J538">
        <v>-5</v>
      </c>
      <c r="K538">
        <v>50</v>
      </c>
    </row>
    <row r="539" spans="1:11" x14ac:dyDescent="0.25">
      <c r="A539" t="s">
        <v>29</v>
      </c>
      <c r="B539">
        <v>2019</v>
      </c>
      <c r="C539">
        <v>5</v>
      </c>
      <c r="D539">
        <v>5</v>
      </c>
      <c r="E539">
        <v>9</v>
      </c>
      <c r="F539">
        <v>-4</v>
      </c>
      <c r="G539">
        <v>9</v>
      </c>
      <c r="H539">
        <v>2</v>
      </c>
      <c r="I539">
        <v>8</v>
      </c>
      <c r="J539">
        <v>2</v>
      </c>
      <c r="K539">
        <v>49</v>
      </c>
    </row>
    <row r="540" spans="1:11" x14ac:dyDescent="0.25">
      <c r="A540" t="s">
        <v>57</v>
      </c>
      <c r="B540">
        <v>2019</v>
      </c>
      <c r="C540">
        <v>8</v>
      </c>
      <c r="D540">
        <v>5</v>
      </c>
      <c r="E540">
        <v>6</v>
      </c>
      <c r="F540">
        <v>5</v>
      </c>
      <c r="G540">
        <v>5</v>
      </c>
      <c r="H540">
        <v>1</v>
      </c>
      <c r="I540">
        <v>13</v>
      </c>
      <c r="J540">
        <v>-19</v>
      </c>
      <c r="K540">
        <v>45</v>
      </c>
    </row>
    <row r="541" spans="1:11" x14ac:dyDescent="0.25">
      <c r="A541" t="s">
        <v>33</v>
      </c>
      <c r="B541">
        <v>2019</v>
      </c>
      <c r="C541">
        <v>8</v>
      </c>
      <c r="D541">
        <v>1</v>
      </c>
      <c r="E541">
        <v>10</v>
      </c>
      <c r="F541">
        <v>-1</v>
      </c>
      <c r="G541">
        <v>4</v>
      </c>
      <c r="H541">
        <v>8</v>
      </c>
      <c r="I541">
        <v>7</v>
      </c>
      <c r="J541">
        <v>-5</v>
      </c>
      <c r="K541">
        <v>45</v>
      </c>
    </row>
    <row r="542" spans="1:11" x14ac:dyDescent="0.25">
      <c r="A542" t="s">
        <v>53</v>
      </c>
      <c r="B542">
        <v>2019</v>
      </c>
      <c r="C542">
        <v>7</v>
      </c>
      <c r="D542">
        <v>2</v>
      </c>
      <c r="E542">
        <v>10</v>
      </c>
      <c r="F542">
        <v>-8</v>
      </c>
      <c r="G542">
        <v>4</v>
      </c>
      <c r="H542">
        <v>5</v>
      </c>
      <c r="I542">
        <v>10</v>
      </c>
      <c r="J542">
        <v>-15</v>
      </c>
      <c r="K542">
        <v>40</v>
      </c>
    </row>
    <row r="543" spans="1:11" x14ac:dyDescent="0.25">
      <c r="A543" t="s">
        <v>28</v>
      </c>
      <c r="B543">
        <v>2019</v>
      </c>
      <c r="C543">
        <v>5</v>
      </c>
      <c r="D543">
        <v>8</v>
      </c>
      <c r="E543">
        <v>6</v>
      </c>
      <c r="F543">
        <v>-3</v>
      </c>
      <c r="G543">
        <v>4</v>
      </c>
      <c r="H543">
        <v>4</v>
      </c>
      <c r="I543">
        <v>11</v>
      </c>
      <c r="J543">
        <v>-17</v>
      </c>
      <c r="K543">
        <v>39</v>
      </c>
    </row>
    <row r="544" spans="1:11" x14ac:dyDescent="0.25">
      <c r="A544" t="s">
        <v>58</v>
      </c>
      <c r="B544">
        <v>2019</v>
      </c>
      <c r="C544">
        <v>6</v>
      </c>
      <c r="D544">
        <v>5</v>
      </c>
      <c r="E544">
        <v>8</v>
      </c>
      <c r="F544">
        <v>-9</v>
      </c>
      <c r="G544">
        <v>3</v>
      </c>
      <c r="H544">
        <v>4</v>
      </c>
      <c r="I544">
        <v>12</v>
      </c>
      <c r="J544">
        <v>-16</v>
      </c>
      <c r="K544">
        <v>36</v>
      </c>
    </row>
    <row r="545" spans="1:11" x14ac:dyDescent="0.25">
      <c r="A545" t="s">
        <v>56</v>
      </c>
      <c r="B545">
        <v>2019</v>
      </c>
      <c r="C545">
        <v>6</v>
      </c>
      <c r="D545">
        <v>2</v>
      </c>
      <c r="E545">
        <v>11</v>
      </c>
      <c r="F545">
        <v>-17</v>
      </c>
      <c r="G545">
        <v>4</v>
      </c>
      <c r="H545">
        <v>2</v>
      </c>
      <c r="I545">
        <v>13</v>
      </c>
      <c r="J545">
        <v>-18</v>
      </c>
      <c r="K545">
        <v>34</v>
      </c>
    </row>
    <row r="546" spans="1:11" x14ac:dyDescent="0.25">
      <c r="A546" t="s">
        <v>44</v>
      </c>
      <c r="B546">
        <v>2019</v>
      </c>
      <c r="C546">
        <v>6</v>
      </c>
      <c r="D546">
        <v>3</v>
      </c>
      <c r="E546">
        <v>10</v>
      </c>
      <c r="F546">
        <v>-14</v>
      </c>
      <c r="G546">
        <v>1</v>
      </c>
      <c r="H546">
        <v>2</v>
      </c>
      <c r="I546">
        <v>16</v>
      </c>
      <c r="J546">
        <v>-33</v>
      </c>
      <c r="K546">
        <v>26</v>
      </c>
    </row>
    <row r="547" spans="1:11" x14ac:dyDescent="0.25">
      <c r="A547" t="s">
        <v>59</v>
      </c>
      <c r="B547">
        <v>2019</v>
      </c>
      <c r="C547">
        <v>2</v>
      </c>
      <c r="D547">
        <v>3</v>
      </c>
      <c r="E547">
        <v>14</v>
      </c>
      <c r="F547">
        <v>-21</v>
      </c>
      <c r="G547">
        <v>1</v>
      </c>
      <c r="H547">
        <v>4</v>
      </c>
      <c r="I547">
        <v>14</v>
      </c>
      <c r="J547">
        <v>-33</v>
      </c>
      <c r="K547">
        <v>16</v>
      </c>
    </row>
    <row r="548" spans="1:11" x14ac:dyDescent="0.25">
      <c r="A548" t="s">
        <v>17</v>
      </c>
      <c r="B548">
        <v>2020</v>
      </c>
      <c r="C548">
        <v>18</v>
      </c>
      <c r="D548">
        <v>1</v>
      </c>
      <c r="E548">
        <v>0</v>
      </c>
      <c r="F548">
        <v>36</v>
      </c>
      <c r="G548">
        <v>14</v>
      </c>
      <c r="H548">
        <v>2</v>
      </c>
      <c r="I548">
        <v>3</v>
      </c>
      <c r="J548">
        <v>16</v>
      </c>
      <c r="K548">
        <v>99</v>
      </c>
    </row>
    <row r="549" spans="1:11" x14ac:dyDescent="0.25">
      <c r="A549" t="s">
        <v>19</v>
      </c>
      <c r="B549">
        <v>2020</v>
      </c>
      <c r="C549">
        <v>15</v>
      </c>
      <c r="D549">
        <v>2</v>
      </c>
      <c r="E549">
        <v>2</v>
      </c>
      <c r="F549">
        <v>44</v>
      </c>
      <c r="G549">
        <v>11</v>
      </c>
      <c r="H549">
        <v>1</v>
      </c>
      <c r="I549">
        <v>7</v>
      </c>
      <c r="J549">
        <v>23</v>
      </c>
      <c r="K549">
        <v>81</v>
      </c>
    </row>
    <row r="550" spans="1:11" x14ac:dyDescent="0.25">
      <c r="A550" t="s">
        <v>21</v>
      </c>
      <c r="B550">
        <v>2020</v>
      </c>
      <c r="C550">
        <v>11</v>
      </c>
      <c r="D550">
        <v>3</v>
      </c>
      <c r="E550">
        <v>5</v>
      </c>
      <c r="F550">
        <v>14</v>
      </c>
      <c r="G550">
        <v>9</v>
      </c>
      <c r="H550">
        <v>3</v>
      </c>
      <c r="I550">
        <v>7</v>
      </c>
      <c r="J550">
        <v>1</v>
      </c>
      <c r="K550">
        <v>66</v>
      </c>
    </row>
    <row r="551" spans="1:11" x14ac:dyDescent="0.25">
      <c r="A551" t="s">
        <v>11</v>
      </c>
      <c r="B551">
        <v>2020</v>
      </c>
      <c r="C551">
        <v>10</v>
      </c>
      <c r="D551">
        <v>7</v>
      </c>
      <c r="E551">
        <v>2</v>
      </c>
      <c r="F551">
        <v>23</v>
      </c>
      <c r="G551">
        <v>8</v>
      </c>
      <c r="H551">
        <v>5</v>
      </c>
      <c r="I551">
        <v>6</v>
      </c>
      <c r="J551">
        <v>7</v>
      </c>
      <c r="K551">
        <v>66</v>
      </c>
    </row>
    <row r="552" spans="1:11" x14ac:dyDescent="0.25">
      <c r="A552" t="s">
        <v>36</v>
      </c>
      <c r="B552">
        <v>2020</v>
      </c>
      <c r="C552">
        <v>11</v>
      </c>
      <c r="D552">
        <v>4</v>
      </c>
      <c r="E552">
        <v>4</v>
      </c>
      <c r="F552">
        <v>18</v>
      </c>
      <c r="G552">
        <v>7</v>
      </c>
      <c r="H552">
        <v>4</v>
      </c>
      <c r="I552">
        <v>8</v>
      </c>
      <c r="J552">
        <v>8</v>
      </c>
      <c r="K552">
        <v>62</v>
      </c>
    </row>
    <row r="553" spans="1:11" x14ac:dyDescent="0.25">
      <c r="A553" t="s">
        <v>16</v>
      </c>
      <c r="B553">
        <v>2020</v>
      </c>
      <c r="C553">
        <v>12</v>
      </c>
      <c r="D553">
        <v>3</v>
      </c>
      <c r="E553">
        <v>4</v>
      </c>
      <c r="F553">
        <v>19</v>
      </c>
      <c r="G553">
        <v>4</v>
      </c>
      <c r="H553">
        <v>8</v>
      </c>
      <c r="I553">
        <v>7</v>
      </c>
      <c r="J553">
        <v>-5</v>
      </c>
      <c r="K553">
        <v>59</v>
      </c>
    </row>
    <row r="554" spans="1:11" x14ac:dyDescent="0.25">
      <c r="A554" t="s">
        <v>48</v>
      </c>
      <c r="B554">
        <v>2020</v>
      </c>
      <c r="C554">
        <v>8</v>
      </c>
      <c r="D554">
        <v>7</v>
      </c>
      <c r="E554">
        <v>4</v>
      </c>
      <c r="F554">
        <v>8</v>
      </c>
      <c r="G554">
        <v>7</v>
      </c>
      <c r="H554">
        <v>7</v>
      </c>
      <c r="I554">
        <v>5</v>
      </c>
      <c r="J554">
        <v>3</v>
      </c>
      <c r="K554">
        <v>59</v>
      </c>
    </row>
    <row r="555" spans="1:11" x14ac:dyDescent="0.25">
      <c r="A555" t="s">
        <v>20</v>
      </c>
      <c r="B555">
        <v>2020</v>
      </c>
      <c r="C555">
        <v>10</v>
      </c>
      <c r="D555">
        <v>6</v>
      </c>
      <c r="E555">
        <v>3</v>
      </c>
      <c r="F555">
        <v>12</v>
      </c>
      <c r="G555">
        <v>4</v>
      </c>
      <c r="H555">
        <v>8</v>
      </c>
      <c r="I555">
        <v>7</v>
      </c>
      <c r="J555">
        <v>-4</v>
      </c>
      <c r="K555">
        <v>56</v>
      </c>
    </row>
    <row r="556" spans="1:11" x14ac:dyDescent="0.25">
      <c r="A556" t="s">
        <v>25</v>
      </c>
      <c r="B556">
        <v>2020</v>
      </c>
      <c r="C556">
        <v>10</v>
      </c>
      <c r="D556">
        <v>3</v>
      </c>
      <c r="E556">
        <v>6</v>
      </c>
      <c r="F556">
        <v>9</v>
      </c>
      <c r="G556">
        <v>4</v>
      </c>
      <c r="H556">
        <v>9</v>
      </c>
      <c r="I556">
        <v>6</v>
      </c>
      <c r="J556">
        <v>-9</v>
      </c>
      <c r="K556">
        <v>54</v>
      </c>
    </row>
    <row r="557" spans="1:11" x14ac:dyDescent="0.25">
      <c r="A557" t="s">
        <v>53</v>
      </c>
      <c r="B557">
        <v>2020</v>
      </c>
      <c r="C557">
        <v>8</v>
      </c>
      <c r="D557">
        <v>4</v>
      </c>
      <c r="E557">
        <v>7</v>
      </c>
      <c r="F557">
        <v>1</v>
      </c>
      <c r="G557">
        <v>7</v>
      </c>
      <c r="H557">
        <v>5</v>
      </c>
      <c r="I557">
        <v>7</v>
      </c>
      <c r="J557">
        <v>-8</v>
      </c>
      <c r="K557">
        <v>54</v>
      </c>
    </row>
    <row r="558" spans="1:11" x14ac:dyDescent="0.25">
      <c r="A558" t="s">
        <v>28</v>
      </c>
      <c r="B558">
        <v>2020</v>
      </c>
      <c r="C558">
        <v>6</v>
      </c>
      <c r="D558">
        <v>3</v>
      </c>
      <c r="E558">
        <v>10</v>
      </c>
      <c r="F558">
        <v>-14</v>
      </c>
      <c r="G558">
        <v>9</v>
      </c>
      <c r="H558">
        <v>4</v>
      </c>
      <c r="I558">
        <v>6</v>
      </c>
      <c r="J558">
        <v>5</v>
      </c>
      <c r="K558">
        <v>52</v>
      </c>
    </row>
    <row r="559" spans="1:11" x14ac:dyDescent="0.25">
      <c r="A559" t="s">
        <v>23</v>
      </c>
      <c r="B559">
        <v>2020</v>
      </c>
      <c r="C559">
        <v>8</v>
      </c>
      <c r="D559">
        <v>7</v>
      </c>
      <c r="E559">
        <v>4</v>
      </c>
      <c r="F559">
        <v>3</v>
      </c>
      <c r="G559">
        <v>5</v>
      </c>
      <c r="H559">
        <v>3</v>
      </c>
      <c r="I559">
        <v>11</v>
      </c>
      <c r="J559">
        <v>-15</v>
      </c>
      <c r="K559">
        <v>49</v>
      </c>
    </row>
    <row r="560" spans="1:11" x14ac:dyDescent="0.25">
      <c r="A560" t="s">
        <v>33</v>
      </c>
      <c r="B560">
        <v>2020</v>
      </c>
      <c r="C560">
        <v>6</v>
      </c>
      <c r="D560">
        <v>8</v>
      </c>
      <c r="E560">
        <v>5</v>
      </c>
      <c r="F560">
        <v>-1</v>
      </c>
      <c r="G560">
        <v>5</v>
      </c>
      <c r="H560">
        <v>3</v>
      </c>
      <c r="I560">
        <v>11</v>
      </c>
      <c r="J560">
        <v>-19</v>
      </c>
      <c r="K560">
        <v>44</v>
      </c>
    </row>
    <row r="561" spans="1:11" x14ac:dyDescent="0.25">
      <c r="A561" t="s">
        <v>29</v>
      </c>
      <c r="B561">
        <v>2020</v>
      </c>
      <c r="C561">
        <v>6</v>
      </c>
      <c r="D561">
        <v>5</v>
      </c>
      <c r="E561">
        <v>8</v>
      </c>
      <c r="F561">
        <v>-5</v>
      </c>
      <c r="G561">
        <v>5</v>
      </c>
      <c r="H561">
        <v>5</v>
      </c>
      <c r="I561">
        <v>9</v>
      </c>
      <c r="J561">
        <v>-14</v>
      </c>
      <c r="K561">
        <v>43</v>
      </c>
    </row>
    <row r="562" spans="1:11" x14ac:dyDescent="0.25">
      <c r="A562" t="s">
        <v>58</v>
      </c>
      <c r="B562">
        <v>2020</v>
      </c>
      <c r="C562">
        <v>5</v>
      </c>
      <c r="D562">
        <v>7</v>
      </c>
      <c r="E562">
        <v>7</v>
      </c>
      <c r="F562">
        <v>-7</v>
      </c>
      <c r="G562">
        <v>4</v>
      </c>
      <c r="H562">
        <v>7</v>
      </c>
      <c r="I562">
        <v>8</v>
      </c>
      <c r="J562">
        <v>-8</v>
      </c>
      <c r="K562">
        <v>41</v>
      </c>
    </row>
    <row r="563" spans="1:11" x14ac:dyDescent="0.25">
      <c r="A563" t="s">
        <v>34</v>
      </c>
      <c r="B563">
        <v>2020</v>
      </c>
      <c r="C563">
        <v>6</v>
      </c>
      <c r="D563">
        <v>4</v>
      </c>
      <c r="E563">
        <v>9</v>
      </c>
      <c r="F563">
        <v>-3</v>
      </c>
      <c r="G563">
        <v>4</v>
      </c>
      <c r="H563">
        <v>5</v>
      </c>
      <c r="I563">
        <v>10</v>
      </c>
      <c r="J563">
        <v>-10</v>
      </c>
      <c r="K563">
        <v>39</v>
      </c>
    </row>
    <row r="564" spans="1:11" x14ac:dyDescent="0.25">
      <c r="A564" t="s">
        <v>12</v>
      </c>
      <c r="B564">
        <v>2020</v>
      </c>
      <c r="C564">
        <v>7</v>
      </c>
      <c r="D564">
        <v>3</v>
      </c>
      <c r="E564">
        <v>9</v>
      </c>
      <c r="F564">
        <v>-8</v>
      </c>
      <c r="G564">
        <v>2</v>
      </c>
      <c r="H564">
        <v>5</v>
      </c>
      <c r="I564">
        <v>12</v>
      </c>
      <c r="J564">
        <v>-18</v>
      </c>
      <c r="K564">
        <v>35</v>
      </c>
    </row>
    <row r="565" spans="1:11" x14ac:dyDescent="0.25">
      <c r="A565" t="s">
        <v>43</v>
      </c>
      <c r="B565">
        <v>2020</v>
      </c>
      <c r="C565">
        <v>6</v>
      </c>
      <c r="D565">
        <v>6</v>
      </c>
      <c r="E565">
        <v>7</v>
      </c>
      <c r="F565">
        <v>-5</v>
      </c>
      <c r="G565">
        <v>2</v>
      </c>
      <c r="H565">
        <v>4</v>
      </c>
      <c r="I565">
        <v>13</v>
      </c>
      <c r="J565">
        <v>-23</v>
      </c>
      <c r="K565">
        <v>34</v>
      </c>
    </row>
    <row r="566" spans="1:11" x14ac:dyDescent="0.25">
      <c r="A566" t="s">
        <v>57</v>
      </c>
      <c r="B566">
        <v>2020</v>
      </c>
      <c r="C566">
        <v>5</v>
      </c>
      <c r="D566">
        <v>6</v>
      </c>
      <c r="E566">
        <v>8</v>
      </c>
      <c r="F566">
        <v>-8</v>
      </c>
      <c r="G566">
        <v>4</v>
      </c>
      <c r="H566">
        <v>1</v>
      </c>
      <c r="I566">
        <v>14</v>
      </c>
      <c r="J566">
        <v>-17</v>
      </c>
      <c r="K566">
        <v>34</v>
      </c>
    </row>
    <row r="567" spans="1:11" x14ac:dyDescent="0.25">
      <c r="A567" t="s">
        <v>13</v>
      </c>
      <c r="B567">
        <v>2020</v>
      </c>
      <c r="C567">
        <v>4</v>
      </c>
      <c r="D567">
        <v>3</v>
      </c>
      <c r="E567">
        <v>12</v>
      </c>
      <c r="F567">
        <v>-18</v>
      </c>
      <c r="G567">
        <v>1</v>
      </c>
      <c r="H567">
        <v>3</v>
      </c>
      <c r="I567">
        <v>15</v>
      </c>
      <c r="J567">
        <v>-31</v>
      </c>
      <c r="K567">
        <v>21</v>
      </c>
    </row>
    <row r="568" spans="1:11" x14ac:dyDescent="0.25">
      <c r="A568" t="s">
        <v>19</v>
      </c>
      <c r="B568">
        <v>2021</v>
      </c>
      <c r="C568">
        <v>13</v>
      </c>
      <c r="D568">
        <v>2</v>
      </c>
      <c r="E568">
        <v>4</v>
      </c>
      <c r="F568">
        <v>26</v>
      </c>
      <c r="G568">
        <v>14</v>
      </c>
      <c r="H568">
        <v>3</v>
      </c>
      <c r="I568">
        <v>2</v>
      </c>
      <c r="J568">
        <v>25</v>
      </c>
      <c r="K568">
        <v>86</v>
      </c>
    </row>
    <row r="569" spans="1:11" x14ac:dyDescent="0.25">
      <c r="A569" t="s">
        <v>11</v>
      </c>
      <c r="B569">
        <v>2021</v>
      </c>
      <c r="C569">
        <v>9</v>
      </c>
      <c r="D569">
        <v>4</v>
      </c>
      <c r="E569">
        <v>6</v>
      </c>
      <c r="F569">
        <v>10</v>
      </c>
      <c r="G569">
        <v>12</v>
      </c>
      <c r="H569">
        <v>7</v>
      </c>
      <c r="I569">
        <v>0</v>
      </c>
      <c r="J569">
        <v>19</v>
      </c>
      <c r="K569">
        <v>74</v>
      </c>
    </row>
    <row r="570" spans="1:11" x14ac:dyDescent="0.25">
      <c r="A570" t="s">
        <v>17</v>
      </c>
      <c r="B570">
        <v>2021</v>
      </c>
      <c r="C570">
        <v>10</v>
      </c>
      <c r="D570">
        <v>3</v>
      </c>
      <c r="E570">
        <v>6</v>
      </c>
      <c r="F570">
        <v>9</v>
      </c>
      <c r="G570">
        <v>10</v>
      </c>
      <c r="H570">
        <v>6</v>
      </c>
      <c r="I570">
        <v>3</v>
      </c>
      <c r="J570">
        <v>17</v>
      </c>
      <c r="K570">
        <v>69</v>
      </c>
    </row>
    <row r="571" spans="1:11" x14ac:dyDescent="0.25">
      <c r="A571" t="s">
        <v>21</v>
      </c>
      <c r="B571">
        <v>2021</v>
      </c>
      <c r="C571">
        <v>9</v>
      </c>
      <c r="D571">
        <v>6</v>
      </c>
      <c r="E571">
        <v>4</v>
      </c>
      <c r="F571">
        <v>13</v>
      </c>
      <c r="G571">
        <v>10</v>
      </c>
      <c r="H571">
        <v>4</v>
      </c>
      <c r="I571">
        <v>5</v>
      </c>
      <c r="J571">
        <v>9</v>
      </c>
      <c r="K571">
        <v>67</v>
      </c>
    </row>
    <row r="572" spans="1:11" x14ac:dyDescent="0.25">
      <c r="A572" t="s">
        <v>36</v>
      </c>
      <c r="B572">
        <v>2021</v>
      </c>
      <c r="C572">
        <v>9</v>
      </c>
      <c r="D572">
        <v>1</v>
      </c>
      <c r="E572">
        <v>9</v>
      </c>
      <c r="F572">
        <v>4</v>
      </c>
      <c r="G572">
        <v>11</v>
      </c>
      <c r="H572">
        <v>5</v>
      </c>
      <c r="I572">
        <v>3</v>
      </c>
      <c r="J572">
        <v>14</v>
      </c>
      <c r="K572">
        <v>66</v>
      </c>
    </row>
    <row r="573" spans="1:11" x14ac:dyDescent="0.25">
      <c r="A573" t="s">
        <v>34</v>
      </c>
      <c r="B573">
        <v>2021</v>
      </c>
      <c r="C573">
        <v>10</v>
      </c>
      <c r="D573">
        <v>4</v>
      </c>
      <c r="E573">
        <v>5</v>
      </c>
      <c r="F573">
        <v>10</v>
      </c>
      <c r="G573">
        <v>9</v>
      </c>
      <c r="H573">
        <v>4</v>
      </c>
      <c r="I573">
        <v>6</v>
      </c>
      <c r="J573">
        <v>5</v>
      </c>
      <c r="K573">
        <v>65</v>
      </c>
    </row>
    <row r="574" spans="1:11" x14ac:dyDescent="0.25">
      <c r="A574" t="s">
        <v>16</v>
      </c>
      <c r="B574">
        <v>2021</v>
      </c>
      <c r="C574">
        <v>10</v>
      </c>
      <c r="D574">
        <v>3</v>
      </c>
      <c r="E574">
        <v>6</v>
      </c>
      <c r="F574">
        <v>15</v>
      </c>
      <c r="G574">
        <v>8</v>
      </c>
      <c r="H574">
        <v>5</v>
      </c>
      <c r="I574">
        <v>6</v>
      </c>
      <c r="J574">
        <v>8</v>
      </c>
      <c r="K574">
        <v>62</v>
      </c>
    </row>
    <row r="575" spans="1:11" x14ac:dyDescent="0.25">
      <c r="A575" t="s">
        <v>20</v>
      </c>
      <c r="B575">
        <v>2021</v>
      </c>
      <c r="C575">
        <v>8</v>
      </c>
      <c r="D575">
        <v>4</v>
      </c>
      <c r="E575">
        <v>7</v>
      </c>
      <c r="F575">
        <v>3</v>
      </c>
      <c r="G575">
        <v>10</v>
      </c>
      <c r="H575">
        <v>3</v>
      </c>
      <c r="I575">
        <v>6</v>
      </c>
      <c r="J575">
        <v>13</v>
      </c>
      <c r="K575">
        <v>61</v>
      </c>
    </row>
    <row r="576" spans="1:11" x14ac:dyDescent="0.25">
      <c r="A576" t="s">
        <v>27</v>
      </c>
      <c r="B576">
        <v>2021</v>
      </c>
      <c r="C576">
        <v>8</v>
      </c>
      <c r="D576">
        <v>5</v>
      </c>
      <c r="E576">
        <v>6</v>
      </c>
      <c r="F576">
        <v>7</v>
      </c>
      <c r="G576">
        <v>10</v>
      </c>
      <c r="H576">
        <v>0</v>
      </c>
      <c r="I576">
        <v>9</v>
      </c>
      <c r="J576">
        <v>1</v>
      </c>
      <c r="K576">
        <v>59</v>
      </c>
    </row>
    <row r="577" spans="1:11" x14ac:dyDescent="0.25">
      <c r="A577" t="s">
        <v>23</v>
      </c>
      <c r="B577">
        <v>2021</v>
      </c>
      <c r="C577">
        <v>6</v>
      </c>
      <c r="D577">
        <v>4</v>
      </c>
      <c r="E577">
        <v>9</v>
      </c>
      <c r="F577">
        <v>-4</v>
      </c>
      <c r="G577">
        <v>11</v>
      </c>
      <c r="H577">
        <v>4</v>
      </c>
      <c r="I577">
        <v>4</v>
      </c>
      <c r="J577">
        <v>3</v>
      </c>
      <c r="K577">
        <v>59</v>
      </c>
    </row>
    <row r="578" spans="1:11" x14ac:dyDescent="0.25">
      <c r="A578" t="s">
        <v>12</v>
      </c>
      <c r="B578">
        <v>2021</v>
      </c>
      <c r="C578">
        <v>7</v>
      </c>
      <c r="D578">
        <v>4</v>
      </c>
      <c r="E578">
        <v>8</v>
      </c>
      <c r="F578">
        <v>2</v>
      </c>
      <c r="G578">
        <v>9</v>
      </c>
      <c r="H578">
        <v>3</v>
      </c>
      <c r="I578">
        <v>7</v>
      </c>
      <c r="J578">
        <v>7</v>
      </c>
      <c r="K578">
        <v>55</v>
      </c>
    </row>
    <row r="579" spans="1:11" x14ac:dyDescent="0.25">
      <c r="A579" t="s">
        <v>48</v>
      </c>
      <c r="B579">
        <v>2021</v>
      </c>
      <c r="C579">
        <v>7</v>
      </c>
      <c r="D579">
        <v>4</v>
      </c>
      <c r="E579">
        <v>8</v>
      </c>
      <c r="F579">
        <v>-4</v>
      </c>
      <c r="G579">
        <v>5</v>
      </c>
      <c r="H579">
        <v>5</v>
      </c>
      <c r="I579">
        <v>9</v>
      </c>
      <c r="J579">
        <v>-12</v>
      </c>
      <c r="K579">
        <v>45</v>
      </c>
    </row>
    <row r="580" spans="1:11" x14ac:dyDescent="0.25">
      <c r="A580" t="s">
        <v>33</v>
      </c>
      <c r="B580">
        <v>2021</v>
      </c>
      <c r="C580">
        <v>6</v>
      </c>
      <c r="D580">
        <v>5</v>
      </c>
      <c r="E580">
        <v>8</v>
      </c>
      <c r="F580">
        <v>-7</v>
      </c>
      <c r="G580">
        <v>6</v>
      </c>
      <c r="H580">
        <v>4</v>
      </c>
      <c r="I580">
        <v>9</v>
      </c>
      <c r="J580">
        <v>-9</v>
      </c>
      <c r="K580">
        <v>45</v>
      </c>
    </row>
    <row r="581" spans="1:11" x14ac:dyDescent="0.25">
      <c r="A581" t="s">
        <v>29</v>
      </c>
      <c r="B581">
        <v>2021</v>
      </c>
      <c r="C581">
        <v>6</v>
      </c>
      <c r="D581">
        <v>5</v>
      </c>
      <c r="E581">
        <v>8</v>
      </c>
      <c r="F581">
        <v>-12</v>
      </c>
      <c r="G581">
        <v>6</v>
      </c>
      <c r="H581">
        <v>3</v>
      </c>
      <c r="I581">
        <v>10</v>
      </c>
      <c r="J581">
        <v>-13</v>
      </c>
      <c r="K581">
        <v>44</v>
      </c>
    </row>
    <row r="582" spans="1:11" x14ac:dyDescent="0.25">
      <c r="A582" t="s">
        <v>28</v>
      </c>
      <c r="B582">
        <v>2021</v>
      </c>
      <c r="C582">
        <v>8</v>
      </c>
      <c r="D582">
        <v>3</v>
      </c>
      <c r="E582">
        <v>8</v>
      </c>
      <c r="F582">
        <v>3</v>
      </c>
      <c r="G582">
        <v>4</v>
      </c>
      <c r="H582">
        <v>4</v>
      </c>
      <c r="I582">
        <v>11</v>
      </c>
      <c r="J582">
        <v>-24</v>
      </c>
      <c r="K582">
        <v>43</v>
      </c>
    </row>
    <row r="583" spans="1:11" x14ac:dyDescent="0.25">
      <c r="A583" t="s">
        <v>58</v>
      </c>
      <c r="B583">
        <v>2021</v>
      </c>
      <c r="C583">
        <v>4</v>
      </c>
      <c r="D583">
        <v>9</v>
      </c>
      <c r="E583">
        <v>6</v>
      </c>
      <c r="F583">
        <v>0</v>
      </c>
      <c r="G583">
        <v>5</v>
      </c>
      <c r="H583">
        <v>5</v>
      </c>
      <c r="I583">
        <v>9</v>
      </c>
      <c r="J583">
        <v>-6</v>
      </c>
      <c r="K583">
        <v>41</v>
      </c>
    </row>
    <row r="584" spans="1:11" x14ac:dyDescent="0.25">
      <c r="A584" t="s">
        <v>53</v>
      </c>
      <c r="B584">
        <v>2021</v>
      </c>
      <c r="C584">
        <v>4</v>
      </c>
      <c r="D584">
        <v>6</v>
      </c>
      <c r="E584">
        <v>9</v>
      </c>
      <c r="F584">
        <v>-13</v>
      </c>
      <c r="G584">
        <v>6</v>
      </c>
      <c r="H584">
        <v>3</v>
      </c>
      <c r="I584">
        <v>10</v>
      </c>
      <c r="J584">
        <v>-9</v>
      </c>
      <c r="K584">
        <v>39</v>
      </c>
    </row>
    <row r="585" spans="1:11" x14ac:dyDescent="0.25">
      <c r="A585" t="s">
        <v>44</v>
      </c>
      <c r="B585">
        <v>2021</v>
      </c>
      <c r="C585">
        <v>2</v>
      </c>
      <c r="D585">
        <v>4</v>
      </c>
      <c r="E585">
        <v>13</v>
      </c>
      <c r="F585">
        <v>-19</v>
      </c>
      <c r="G585">
        <v>3</v>
      </c>
      <c r="H585">
        <v>9</v>
      </c>
      <c r="I585">
        <v>7</v>
      </c>
      <c r="J585">
        <v>-7</v>
      </c>
      <c r="K585">
        <v>28</v>
      </c>
    </row>
    <row r="586" spans="1:11" x14ac:dyDescent="0.25">
      <c r="A586" t="s">
        <v>46</v>
      </c>
      <c r="B586">
        <v>2021</v>
      </c>
      <c r="C586">
        <v>3</v>
      </c>
      <c r="D586">
        <v>6</v>
      </c>
      <c r="E586">
        <v>10</v>
      </c>
      <c r="F586">
        <v>-24</v>
      </c>
      <c r="G586">
        <v>2</v>
      </c>
      <c r="H586">
        <v>5</v>
      </c>
      <c r="I586">
        <v>12</v>
      </c>
      <c r="J586">
        <v>-17</v>
      </c>
      <c r="K586">
        <v>26</v>
      </c>
    </row>
    <row r="587" spans="1:11" x14ac:dyDescent="0.25">
      <c r="A587" t="s">
        <v>25</v>
      </c>
      <c r="B587">
        <v>2021</v>
      </c>
      <c r="C587">
        <v>5</v>
      </c>
      <c r="D587">
        <v>1</v>
      </c>
      <c r="E587">
        <v>13</v>
      </c>
      <c r="F587">
        <v>-15</v>
      </c>
      <c r="G587">
        <v>2</v>
      </c>
      <c r="H587">
        <v>1</v>
      </c>
      <c r="I587">
        <v>16</v>
      </c>
      <c r="J587">
        <v>-28</v>
      </c>
      <c r="K587">
        <v>23</v>
      </c>
    </row>
    <row r="588" spans="1:11" x14ac:dyDescent="0.25">
      <c r="A588" t="s">
        <v>19</v>
      </c>
      <c r="B588">
        <v>2022</v>
      </c>
      <c r="C588">
        <v>15</v>
      </c>
      <c r="D588">
        <v>2</v>
      </c>
      <c r="E588">
        <v>2</v>
      </c>
      <c r="F588">
        <v>43</v>
      </c>
      <c r="G588">
        <v>14</v>
      </c>
      <c r="H588">
        <v>4</v>
      </c>
      <c r="I588">
        <v>1</v>
      </c>
      <c r="J588">
        <v>30</v>
      </c>
      <c r="K588">
        <v>93</v>
      </c>
    </row>
    <row r="589" spans="1:11" x14ac:dyDescent="0.25">
      <c r="A589" t="s">
        <v>17</v>
      </c>
      <c r="B589">
        <v>2022</v>
      </c>
      <c r="C589">
        <v>15</v>
      </c>
      <c r="D589">
        <v>4</v>
      </c>
      <c r="E589">
        <v>0</v>
      </c>
      <c r="F589">
        <v>40</v>
      </c>
      <c r="G589">
        <v>13</v>
      </c>
      <c r="H589">
        <v>4</v>
      </c>
      <c r="I589">
        <v>2</v>
      </c>
      <c r="J589">
        <v>28</v>
      </c>
      <c r="K589">
        <v>92</v>
      </c>
    </row>
    <row r="590" spans="1:11" x14ac:dyDescent="0.25">
      <c r="A590" t="s">
        <v>21</v>
      </c>
      <c r="B590">
        <v>2022</v>
      </c>
      <c r="C590">
        <v>9</v>
      </c>
      <c r="D590">
        <v>7</v>
      </c>
      <c r="E590">
        <v>3</v>
      </c>
      <c r="F590">
        <v>15</v>
      </c>
      <c r="G590">
        <v>12</v>
      </c>
      <c r="H590">
        <v>4</v>
      </c>
      <c r="I590">
        <v>3</v>
      </c>
      <c r="J590">
        <v>28</v>
      </c>
      <c r="K590">
        <v>74</v>
      </c>
    </row>
    <row r="591" spans="1:11" x14ac:dyDescent="0.25">
      <c r="A591" t="s">
        <v>16</v>
      </c>
      <c r="B591">
        <v>2022</v>
      </c>
      <c r="C591">
        <v>13</v>
      </c>
      <c r="D591">
        <v>1</v>
      </c>
      <c r="E591">
        <v>5</v>
      </c>
      <c r="F591">
        <v>19</v>
      </c>
      <c r="G591">
        <v>9</v>
      </c>
      <c r="H591">
        <v>4</v>
      </c>
      <c r="I591">
        <v>6</v>
      </c>
      <c r="J591">
        <v>10</v>
      </c>
      <c r="K591">
        <v>71</v>
      </c>
    </row>
    <row r="592" spans="1:11" x14ac:dyDescent="0.25">
      <c r="A592" t="s">
        <v>20</v>
      </c>
      <c r="B592">
        <v>2022</v>
      </c>
      <c r="C592">
        <v>13</v>
      </c>
      <c r="D592">
        <v>2</v>
      </c>
      <c r="E592">
        <v>4</v>
      </c>
      <c r="F592">
        <v>18</v>
      </c>
      <c r="G592">
        <v>9</v>
      </c>
      <c r="H592">
        <v>1</v>
      </c>
      <c r="I592">
        <v>9</v>
      </c>
      <c r="J592">
        <v>-5</v>
      </c>
      <c r="K592">
        <v>69</v>
      </c>
    </row>
    <row r="593" spans="1:11" x14ac:dyDescent="0.25">
      <c r="A593" t="s">
        <v>11</v>
      </c>
      <c r="B593">
        <v>2022</v>
      </c>
      <c r="C593">
        <v>10</v>
      </c>
      <c r="D593">
        <v>5</v>
      </c>
      <c r="E593">
        <v>4</v>
      </c>
      <c r="F593">
        <v>10</v>
      </c>
      <c r="G593">
        <v>6</v>
      </c>
      <c r="H593">
        <v>5</v>
      </c>
      <c r="I593">
        <v>8</v>
      </c>
      <c r="J593">
        <v>-10</v>
      </c>
      <c r="K593">
        <v>58</v>
      </c>
    </row>
    <row r="594" spans="1:11" x14ac:dyDescent="0.25">
      <c r="A594" t="s">
        <v>34</v>
      </c>
      <c r="B594">
        <v>2022</v>
      </c>
      <c r="C594">
        <v>9</v>
      </c>
      <c r="D594">
        <v>5</v>
      </c>
      <c r="E594">
        <v>5</v>
      </c>
      <c r="F594">
        <v>7</v>
      </c>
      <c r="G594">
        <v>7</v>
      </c>
      <c r="H594">
        <v>3</v>
      </c>
      <c r="I594">
        <v>9</v>
      </c>
      <c r="J594">
        <v>2</v>
      </c>
      <c r="K594">
        <v>56</v>
      </c>
    </row>
    <row r="595" spans="1:11" x14ac:dyDescent="0.25">
      <c r="A595" t="s">
        <v>36</v>
      </c>
      <c r="B595">
        <v>2022</v>
      </c>
      <c r="C595">
        <v>10</v>
      </c>
      <c r="D595">
        <v>4</v>
      </c>
      <c r="E595">
        <v>5</v>
      </c>
      <c r="F595">
        <v>11</v>
      </c>
      <c r="G595">
        <v>4</v>
      </c>
      <c r="H595">
        <v>6</v>
      </c>
      <c r="I595">
        <v>9</v>
      </c>
      <c r="J595">
        <v>-8</v>
      </c>
      <c r="K595">
        <v>52</v>
      </c>
    </row>
    <row r="596" spans="1:11" x14ac:dyDescent="0.25">
      <c r="A596" t="s">
        <v>58</v>
      </c>
      <c r="B596">
        <v>2022</v>
      </c>
      <c r="C596">
        <v>5</v>
      </c>
      <c r="D596">
        <v>7</v>
      </c>
      <c r="E596">
        <v>7</v>
      </c>
      <c r="F596">
        <v>-4</v>
      </c>
      <c r="G596">
        <v>7</v>
      </c>
      <c r="H596">
        <v>8</v>
      </c>
      <c r="I596">
        <v>4</v>
      </c>
      <c r="J596">
        <v>2</v>
      </c>
      <c r="K596">
        <v>51</v>
      </c>
    </row>
    <row r="597" spans="1:11" x14ac:dyDescent="0.25">
      <c r="A597" t="s">
        <v>48</v>
      </c>
      <c r="B597">
        <v>2022</v>
      </c>
      <c r="C597">
        <v>7</v>
      </c>
      <c r="D597">
        <v>3</v>
      </c>
      <c r="E597">
        <v>9</v>
      </c>
      <c r="F597">
        <v>-5</v>
      </c>
      <c r="G597">
        <v>8</v>
      </c>
      <c r="H597">
        <v>3</v>
      </c>
      <c r="I597">
        <v>8</v>
      </c>
      <c r="J597">
        <v>0</v>
      </c>
      <c r="K597">
        <v>51</v>
      </c>
    </row>
    <row r="598" spans="1:11" x14ac:dyDescent="0.25">
      <c r="A598" t="s">
        <v>33</v>
      </c>
      <c r="B598">
        <v>2022</v>
      </c>
      <c r="C598">
        <v>8</v>
      </c>
      <c r="D598">
        <v>6</v>
      </c>
      <c r="E598">
        <v>5</v>
      </c>
      <c r="F598">
        <v>-1</v>
      </c>
      <c r="G598">
        <v>5</v>
      </c>
      <c r="H598">
        <v>4</v>
      </c>
      <c r="I598">
        <v>10</v>
      </c>
      <c r="J598">
        <v>-17</v>
      </c>
      <c r="K598">
        <v>49</v>
      </c>
    </row>
    <row r="599" spans="1:11" x14ac:dyDescent="0.25">
      <c r="A599" t="s">
        <v>29</v>
      </c>
      <c r="B599">
        <v>2022</v>
      </c>
      <c r="C599">
        <v>7</v>
      </c>
      <c r="D599">
        <v>8</v>
      </c>
      <c r="E599">
        <v>4</v>
      </c>
      <c r="F599">
        <v>10</v>
      </c>
      <c r="G599">
        <v>4</v>
      </c>
      <c r="H599">
        <v>7</v>
      </c>
      <c r="I599">
        <v>8</v>
      </c>
      <c r="J599">
        <v>-6</v>
      </c>
      <c r="K599">
        <v>48</v>
      </c>
    </row>
    <row r="600" spans="1:11" x14ac:dyDescent="0.25">
      <c r="A600" t="s">
        <v>60</v>
      </c>
      <c r="B600">
        <v>2022</v>
      </c>
      <c r="C600">
        <v>7</v>
      </c>
      <c r="D600">
        <v>3</v>
      </c>
      <c r="E600">
        <v>9</v>
      </c>
      <c r="F600">
        <v>1</v>
      </c>
      <c r="G600">
        <v>6</v>
      </c>
      <c r="H600">
        <v>4</v>
      </c>
      <c r="I600">
        <v>9</v>
      </c>
      <c r="J600">
        <v>-9</v>
      </c>
      <c r="K600">
        <v>46</v>
      </c>
    </row>
    <row r="601" spans="1:11" x14ac:dyDescent="0.25">
      <c r="A601" t="s">
        <v>12</v>
      </c>
      <c r="B601">
        <v>2022</v>
      </c>
      <c r="C601">
        <v>6</v>
      </c>
      <c r="D601">
        <v>5</v>
      </c>
      <c r="E601">
        <v>8</v>
      </c>
      <c r="F601">
        <v>0</v>
      </c>
      <c r="G601">
        <v>7</v>
      </c>
      <c r="H601">
        <v>1</v>
      </c>
      <c r="I601">
        <v>11</v>
      </c>
      <c r="J601">
        <v>-2</v>
      </c>
      <c r="K601">
        <v>45</v>
      </c>
    </row>
    <row r="602" spans="1:11" x14ac:dyDescent="0.25">
      <c r="A602" t="s">
        <v>28</v>
      </c>
      <c r="B602">
        <v>2022</v>
      </c>
      <c r="C602">
        <v>6</v>
      </c>
      <c r="D602">
        <v>7</v>
      </c>
      <c r="E602">
        <v>6</v>
      </c>
      <c r="F602">
        <v>-1</v>
      </c>
      <c r="G602">
        <v>3</v>
      </c>
      <c r="H602">
        <v>6</v>
      </c>
      <c r="I602">
        <v>10</v>
      </c>
      <c r="J602">
        <v>-23</v>
      </c>
      <c r="K602">
        <v>40</v>
      </c>
    </row>
    <row r="603" spans="1:11" x14ac:dyDescent="0.25">
      <c r="A603" t="s">
        <v>23</v>
      </c>
      <c r="B603">
        <v>2022</v>
      </c>
      <c r="C603">
        <v>9</v>
      </c>
      <c r="D603">
        <v>2</v>
      </c>
      <c r="E603">
        <v>8</v>
      </c>
      <c r="F603">
        <v>2</v>
      </c>
      <c r="G603">
        <v>2</v>
      </c>
      <c r="H603">
        <v>4</v>
      </c>
      <c r="I603">
        <v>13</v>
      </c>
      <c r="J603">
        <v>-25</v>
      </c>
      <c r="K603">
        <v>39</v>
      </c>
    </row>
    <row r="604" spans="1:11" x14ac:dyDescent="0.25">
      <c r="A604" t="s">
        <v>27</v>
      </c>
      <c r="B604">
        <v>2022</v>
      </c>
      <c r="C604">
        <v>4</v>
      </c>
      <c r="D604">
        <v>6</v>
      </c>
      <c r="E604">
        <v>9</v>
      </c>
      <c r="F604">
        <v>-19</v>
      </c>
      <c r="G604">
        <v>5</v>
      </c>
      <c r="H604">
        <v>5</v>
      </c>
      <c r="I604">
        <v>9</v>
      </c>
      <c r="J604">
        <v>-18</v>
      </c>
      <c r="K604">
        <v>38</v>
      </c>
    </row>
    <row r="605" spans="1:11" x14ac:dyDescent="0.25">
      <c r="A605" t="s">
        <v>53</v>
      </c>
      <c r="B605">
        <v>2022</v>
      </c>
      <c r="C605">
        <v>5</v>
      </c>
      <c r="D605">
        <v>6</v>
      </c>
      <c r="E605">
        <v>8</v>
      </c>
      <c r="F605">
        <v>-7</v>
      </c>
      <c r="G605">
        <v>2</v>
      </c>
      <c r="H605">
        <v>8</v>
      </c>
      <c r="I605">
        <v>9</v>
      </c>
      <c r="J605">
        <v>-12</v>
      </c>
      <c r="K605">
        <v>35</v>
      </c>
    </row>
    <row r="606" spans="1:11" x14ac:dyDescent="0.25">
      <c r="A606" t="s">
        <v>43</v>
      </c>
      <c r="B606">
        <v>2022</v>
      </c>
      <c r="C606">
        <v>2</v>
      </c>
      <c r="D606">
        <v>2</v>
      </c>
      <c r="E606">
        <v>15</v>
      </c>
      <c r="F606">
        <v>-29</v>
      </c>
      <c r="G606">
        <v>4</v>
      </c>
      <c r="H606">
        <v>3</v>
      </c>
      <c r="I606">
        <v>12</v>
      </c>
      <c r="J606">
        <v>-14</v>
      </c>
      <c r="K606">
        <v>23</v>
      </c>
    </row>
    <row r="607" spans="1:11" x14ac:dyDescent="0.25">
      <c r="A607" t="s">
        <v>13</v>
      </c>
      <c r="B607">
        <v>2022</v>
      </c>
      <c r="C607">
        <v>3</v>
      </c>
      <c r="D607">
        <v>3</v>
      </c>
      <c r="E607">
        <v>13</v>
      </c>
      <c r="F607">
        <v>-31</v>
      </c>
      <c r="G607">
        <v>2</v>
      </c>
      <c r="H607">
        <v>4</v>
      </c>
      <c r="I607">
        <v>13</v>
      </c>
      <c r="J607">
        <v>-30</v>
      </c>
      <c r="K607">
        <v>22</v>
      </c>
    </row>
    <row r="608" spans="1:11" x14ac:dyDescent="0.25">
      <c r="A608" t="s">
        <v>19</v>
      </c>
      <c r="B608">
        <v>2023</v>
      </c>
      <c r="C608">
        <v>17</v>
      </c>
      <c r="D608">
        <v>1</v>
      </c>
      <c r="E608">
        <v>1</v>
      </c>
      <c r="F608">
        <v>43</v>
      </c>
      <c r="G608">
        <v>11</v>
      </c>
      <c r="H608">
        <v>4</v>
      </c>
      <c r="I608">
        <v>4</v>
      </c>
      <c r="J608">
        <v>18</v>
      </c>
      <c r="K608">
        <v>89</v>
      </c>
    </row>
    <row r="609" spans="1:11" x14ac:dyDescent="0.25">
      <c r="A609" t="s">
        <v>20</v>
      </c>
      <c r="B609">
        <v>2023</v>
      </c>
      <c r="C609">
        <v>14</v>
      </c>
      <c r="D609">
        <v>3</v>
      </c>
      <c r="E609">
        <v>2</v>
      </c>
      <c r="F609">
        <v>28</v>
      </c>
      <c r="G609">
        <v>12</v>
      </c>
      <c r="H609">
        <v>3</v>
      </c>
      <c r="I609">
        <v>4</v>
      </c>
      <c r="J609">
        <v>17</v>
      </c>
      <c r="K609">
        <v>84</v>
      </c>
    </row>
    <row r="610" spans="1:11" x14ac:dyDescent="0.25">
      <c r="A610" t="s">
        <v>11</v>
      </c>
      <c r="B610">
        <v>2023</v>
      </c>
      <c r="C610">
        <v>15</v>
      </c>
      <c r="D610">
        <v>3</v>
      </c>
      <c r="E610">
        <v>1</v>
      </c>
      <c r="F610">
        <v>26</v>
      </c>
      <c r="G610">
        <v>8</v>
      </c>
      <c r="H610">
        <v>3</v>
      </c>
      <c r="I610">
        <v>8</v>
      </c>
      <c r="J610">
        <v>-11</v>
      </c>
      <c r="K610">
        <v>75</v>
      </c>
    </row>
    <row r="611" spans="1:11" x14ac:dyDescent="0.25">
      <c r="A611" t="s">
        <v>33</v>
      </c>
      <c r="B611">
        <v>2023</v>
      </c>
      <c r="C611">
        <v>11</v>
      </c>
      <c r="D611">
        <v>6</v>
      </c>
      <c r="E611">
        <v>2</v>
      </c>
      <c r="F611">
        <v>22</v>
      </c>
      <c r="G611">
        <v>8</v>
      </c>
      <c r="H611">
        <v>8</v>
      </c>
      <c r="I611">
        <v>3</v>
      </c>
      <c r="J611">
        <v>13</v>
      </c>
      <c r="K611">
        <v>71</v>
      </c>
    </row>
    <row r="612" spans="1:11" x14ac:dyDescent="0.25">
      <c r="A612" t="s">
        <v>17</v>
      </c>
      <c r="B612">
        <v>2023</v>
      </c>
      <c r="C612">
        <v>13</v>
      </c>
      <c r="D612">
        <v>5</v>
      </c>
      <c r="E612">
        <v>1</v>
      </c>
      <c r="F612">
        <v>29</v>
      </c>
      <c r="G612">
        <v>6</v>
      </c>
      <c r="H612">
        <v>5</v>
      </c>
      <c r="I612">
        <v>8</v>
      </c>
      <c r="J612">
        <v>-1</v>
      </c>
      <c r="K612">
        <v>67</v>
      </c>
    </row>
    <row r="613" spans="1:11" x14ac:dyDescent="0.25">
      <c r="A613" t="s">
        <v>58</v>
      </c>
      <c r="B613">
        <v>2023</v>
      </c>
      <c r="C613">
        <v>10</v>
      </c>
      <c r="D613">
        <v>4</v>
      </c>
      <c r="E613">
        <v>5</v>
      </c>
      <c r="F613">
        <v>16</v>
      </c>
      <c r="G613">
        <v>8</v>
      </c>
      <c r="H613">
        <v>4</v>
      </c>
      <c r="I613">
        <v>7</v>
      </c>
      <c r="J613">
        <v>3</v>
      </c>
      <c r="K613">
        <v>62</v>
      </c>
    </row>
    <row r="614" spans="1:11" x14ac:dyDescent="0.25">
      <c r="A614" t="s">
        <v>12</v>
      </c>
      <c r="B614">
        <v>2023</v>
      </c>
      <c r="C614">
        <v>12</v>
      </c>
      <c r="D614">
        <v>2</v>
      </c>
      <c r="E614">
        <v>5</v>
      </c>
      <c r="F614">
        <v>12</v>
      </c>
      <c r="G614">
        <v>6</v>
      </c>
      <c r="H614">
        <v>5</v>
      </c>
      <c r="I614">
        <v>8</v>
      </c>
      <c r="J614">
        <v>-7</v>
      </c>
      <c r="K614">
        <v>61</v>
      </c>
    </row>
    <row r="615" spans="1:11" x14ac:dyDescent="0.25">
      <c r="A615" t="s">
        <v>16</v>
      </c>
      <c r="B615">
        <v>2023</v>
      </c>
      <c r="C615">
        <v>12</v>
      </c>
      <c r="D615">
        <v>1</v>
      </c>
      <c r="E615">
        <v>6</v>
      </c>
      <c r="F615">
        <v>12</v>
      </c>
      <c r="G615">
        <v>6</v>
      </c>
      <c r="H615">
        <v>5</v>
      </c>
      <c r="I615">
        <v>8</v>
      </c>
      <c r="J615">
        <v>-5</v>
      </c>
      <c r="K615">
        <v>60</v>
      </c>
    </row>
    <row r="616" spans="1:11" x14ac:dyDescent="0.25">
      <c r="A616" t="s">
        <v>60</v>
      </c>
      <c r="B616">
        <v>2023</v>
      </c>
      <c r="C616">
        <v>10</v>
      </c>
      <c r="D616">
        <v>7</v>
      </c>
      <c r="E616">
        <v>2</v>
      </c>
      <c r="F616">
        <v>17</v>
      </c>
      <c r="G616">
        <v>5</v>
      </c>
      <c r="H616">
        <v>7</v>
      </c>
      <c r="I616">
        <v>7</v>
      </c>
      <c r="J616">
        <v>-5</v>
      </c>
      <c r="K616">
        <v>59</v>
      </c>
    </row>
    <row r="617" spans="1:11" x14ac:dyDescent="0.25">
      <c r="A617" t="s">
        <v>44</v>
      </c>
      <c r="B617">
        <v>2023</v>
      </c>
      <c r="C617">
        <v>8</v>
      </c>
      <c r="D617">
        <v>5</v>
      </c>
      <c r="E617">
        <v>6</v>
      </c>
      <c r="F617">
        <v>2</v>
      </c>
      <c r="G617">
        <v>7</v>
      </c>
      <c r="H617">
        <v>2</v>
      </c>
      <c r="I617">
        <v>10</v>
      </c>
      <c r="J617">
        <v>0</v>
      </c>
      <c r="K617">
        <v>52</v>
      </c>
    </row>
    <row r="618" spans="1:11" x14ac:dyDescent="0.25">
      <c r="A618" t="s">
        <v>29</v>
      </c>
      <c r="B618">
        <v>2023</v>
      </c>
      <c r="C618">
        <v>7</v>
      </c>
      <c r="D618">
        <v>7</v>
      </c>
      <c r="E618">
        <v>5</v>
      </c>
      <c r="F618">
        <v>-2</v>
      </c>
      <c r="G618">
        <v>4</v>
      </c>
      <c r="H618">
        <v>5</v>
      </c>
      <c r="I618">
        <v>10</v>
      </c>
      <c r="J618">
        <v>-7</v>
      </c>
      <c r="K618">
        <v>45</v>
      </c>
    </row>
    <row r="619" spans="1:11" x14ac:dyDescent="0.25">
      <c r="A619" t="s">
        <v>21</v>
      </c>
      <c r="B619">
        <v>2023</v>
      </c>
      <c r="C619">
        <v>6</v>
      </c>
      <c r="D619">
        <v>7</v>
      </c>
      <c r="E619">
        <v>6</v>
      </c>
      <c r="F619">
        <v>1</v>
      </c>
      <c r="G619">
        <v>5</v>
      </c>
      <c r="H619">
        <v>4</v>
      </c>
      <c r="I619">
        <v>10</v>
      </c>
      <c r="J619">
        <v>-10</v>
      </c>
      <c r="K619">
        <v>44</v>
      </c>
    </row>
    <row r="620" spans="1:11" x14ac:dyDescent="0.25">
      <c r="A620" t="s">
        <v>48</v>
      </c>
      <c r="B620">
        <v>2023</v>
      </c>
      <c r="C620">
        <v>9</v>
      </c>
      <c r="D620">
        <v>3</v>
      </c>
      <c r="E620">
        <v>7</v>
      </c>
      <c r="F620">
        <v>-1</v>
      </c>
      <c r="G620">
        <v>2</v>
      </c>
      <c r="H620">
        <v>5</v>
      </c>
      <c r="I620">
        <v>12</v>
      </c>
      <c r="J620">
        <v>-26</v>
      </c>
      <c r="K620">
        <v>41</v>
      </c>
    </row>
    <row r="621" spans="1:11" x14ac:dyDescent="0.25">
      <c r="A621" t="s">
        <v>34</v>
      </c>
      <c r="B621">
        <v>2023</v>
      </c>
      <c r="C621">
        <v>8</v>
      </c>
      <c r="D621">
        <v>4</v>
      </c>
      <c r="E621">
        <v>7</v>
      </c>
      <c r="F621">
        <v>2</v>
      </c>
      <c r="G621">
        <v>3</v>
      </c>
      <c r="H621">
        <v>3</v>
      </c>
      <c r="I621">
        <v>13</v>
      </c>
      <c r="J621">
        <v>-15</v>
      </c>
      <c r="K621">
        <v>40</v>
      </c>
    </row>
    <row r="622" spans="1:11" x14ac:dyDescent="0.25">
      <c r="A622" t="s">
        <v>57</v>
      </c>
      <c r="B622">
        <v>2023</v>
      </c>
      <c r="C622">
        <v>6</v>
      </c>
      <c r="D622">
        <v>4</v>
      </c>
      <c r="E622">
        <v>9</v>
      </c>
      <c r="F622">
        <v>-8</v>
      </c>
      <c r="G622">
        <v>5</v>
      </c>
      <c r="H622">
        <v>2</v>
      </c>
      <c r="I622">
        <v>12</v>
      </c>
      <c r="J622">
        <v>-26</v>
      </c>
      <c r="K622">
        <v>39</v>
      </c>
    </row>
    <row r="623" spans="1:11" x14ac:dyDescent="0.25">
      <c r="A623" t="s">
        <v>32</v>
      </c>
      <c r="B623">
        <v>2023</v>
      </c>
      <c r="C623">
        <v>8</v>
      </c>
      <c r="D623">
        <v>6</v>
      </c>
      <c r="E623">
        <v>5</v>
      </c>
      <c r="F623">
        <v>3</v>
      </c>
      <c r="G623">
        <v>1</v>
      </c>
      <c r="H623">
        <v>5</v>
      </c>
      <c r="I623">
        <v>13</v>
      </c>
      <c r="J623">
        <v>-33</v>
      </c>
      <c r="K623">
        <v>38</v>
      </c>
    </row>
    <row r="624" spans="1:11" x14ac:dyDescent="0.25">
      <c r="A624" t="s">
        <v>23</v>
      </c>
      <c r="B624">
        <v>2023</v>
      </c>
      <c r="C624">
        <v>6</v>
      </c>
      <c r="D624">
        <v>3</v>
      </c>
      <c r="E624">
        <v>10</v>
      </c>
      <c r="F624">
        <v>-11</v>
      </c>
      <c r="G624">
        <v>2</v>
      </c>
      <c r="H624">
        <v>9</v>
      </c>
      <c r="I624">
        <v>8</v>
      </c>
      <c r="J624">
        <v>-12</v>
      </c>
      <c r="K624">
        <v>36</v>
      </c>
    </row>
    <row r="625" spans="1:11" x14ac:dyDescent="0.25">
      <c r="A625" t="s">
        <v>36</v>
      </c>
      <c r="B625">
        <v>2023</v>
      </c>
      <c r="C625">
        <v>5</v>
      </c>
      <c r="D625">
        <v>4</v>
      </c>
      <c r="E625">
        <v>10</v>
      </c>
      <c r="F625">
        <v>-4</v>
      </c>
      <c r="G625">
        <v>4</v>
      </c>
      <c r="H625">
        <v>3</v>
      </c>
      <c r="I625">
        <v>12</v>
      </c>
      <c r="J625">
        <v>-13</v>
      </c>
      <c r="K625">
        <v>34</v>
      </c>
    </row>
    <row r="626" spans="1:11" x14ac:dyDescent="0.25">
      <c r="A626" t="s">
        <v>27</v>
      </c>
      <c r="B626">
        <v>2023</v>
      </c>
      <c r="C626">
        <v>5</v>
      </c>
      <c r="D626">
        <v>7</v>
      </c>
      <c r="E626">
        <v>7</v>
      </c>
      <c r="F626">
        <v>-11</v>
      </c>
      <c r="G626">
        <v>2</v>
      </c>
      <c r="H626">
        <v>3</v>
      </c>
      <c r="I626">
        <v>14</v>
      </c>
      <c r="J626">
        <v>-19</v>
      </c>
      <c r="K626">
        <v>31</v>
      </c>
    </row>
    <row r="627" spans="1:11" x14ac:dyDescent="0.25">
      <c r="A627" t="s">
        <v>28</v>
      </c>
      <c r="B627">
        <v>2023</v>
      </c>
      <c r="C627">
        <v>2</v>
      </c>
      <c r="D627">
        <v>5</v>
      </c>
      <c r="E627">
        <v>12</v>
      </c>
      <c r="F627">
        <v>-18</v>
      </c>
      <c r="G627">
        <v>4</v>
      </c>
      <c r="H627">
        <v>2</v>
      </c>
      <c r="I627">
        <v>13</v>
      </c>
      <c r="J627">
        <v>-19</v>
      </c>
      <c r="K627">
        <v>25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4A62-99AC-4EDD-89CB-193F26F82B34}">
  <sheetPr codeName="Sheet8"/>
  <dimension ref="C2:AM32"/>
  <sheetViews>
    <sheetView showGridLines="0" topLeftCell="R16" zoomScale="55" zoomScaleNormal="55" workbookViewId="0">
      <selection activeCell="H22" sqref="H22"/>
    </sheetView>
  </sheetViews>
  <sheetFormatPr defaultRowHeight="31.5" x14ac:dyDescent="0.5"/>
  <cols>
    <col min="1" max="6" width="9.140625" style="5"/>
    <col min="7" max="7" width="9.28515625" style="5" bestFit="1" customWidth="1"/>
    <col min="8" max="8" width="33.140625" style="5" bestFit="1" customWidth="1"/>
    <col min="9" max="9" width="13.85546875" style="5" bestFit="1" customWidth="1"/>
    <col min="10" max="10" width="20.7109375" style="5" bestFit="1" customWidth="1"/>
    <col min="11" max="11" width="19.140625" style="5" bestFit="1" customWidth="1"/>
    <col min="12" max="35" width="9.140625" style="5"/>
    <col min="36" max="36" width="15.7109375" style="5" customWidth="1"/>
    <col min="37" max="37" width="10.5703125" style="5" bestFit="1" customWidth="1"/>
    <col min="38" max="38" width="14" style="5" customWidth="1"/>
    <col min="39" max="39" width="33.42578125" style="5" bestFit="1" customWidth="1"/>
    <col min="40" max="40" width="13.85546875" style="5" bestFit="1" customWidth="1"/>
    <col min="41" max="41" width="20.7109375" style="5" bestFit="1" customWidth="1"/>
    <col min="42" max="42" width="19.140625" style="5" bestFit="1" customWidth="1"/>
    <col min="43" max="16384" width="9.140625" style="5"/>
  </cols>
  <sheetData>
    <row r="2" spans="3:39" x14ac:dyDescent="0.5">
      <c r="C2"/>
      <c r="I2" s="5" t="s">
        <v>323</v>
      </c>
      <c r="J2" s="23" t="s">
        <v>122</v>
      </c>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row>
    <row r="3" spans="3:39" ht="31.5" customHeight="1" x14ac:dyDescent="0.5">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row>
    <row r="4" spans="3:39" ht="31.5" customHeight="1" x14ac:dyDescent="0.5">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row>
    <row r="5" spans="3:39" ht="31.5" customHeight="1" x14ac:dyDescent="0.5">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row>
    <row r="6" spans="3:39" ht="31.5" customHeight="1" x14ac:dyDescent="0.5">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row>
    <row r="7" spans="3:39" ht="31.5" customHeight="1" x14ac:dyDescent="0.5">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row>
    <row r="9" spans="3:39" ht="32.25" thickBot="1" x14ac:dyDescent="0.55000000000000004"/>
    <row r="10" spans="3:39" x14ac:dyDescent="0.5">
      <c r="G10" s="7" t="s">
        <v>83</v>
      </c>
      <c r="H10" s="8" t="s">
        <v>0</v>
      </c>
      <c r="I10" s="8" t="s">
        <v>10</v>
      </c>
      <c r="J10" s="8" t="s">
        <v>5</v>
      </c>
      <c r="K10" s="9" t="s">
        <v>9</v>
      </c>
    </row>
    <row r="11" spans="3:39" x14ac:dyDescent="0.5">
      <c r="G11" s="10">
        <v>1</v>
      </c>
      <c r="H11" s="6" t="str">
        <f>Sheet7!A4</f>
        <v>Manchester City</v>
      </c>
      <c r="I11" s="6">
        <f>Sheet7!B4</f>
        <v>89</v>
      </c>
      <c r="J11" s="6">
        <f>Sheet7!C4</f>
        <v>43</v>
      </c>
      <c r="K11" s="11">
        <f>Sheet7!D4</f>
        <v>18</v>
      </c>
    </row>
    <row r="12" spans="3:39" x14ac:dyDescent="0.5">
      <c r="G12" s="10">
        <v>2</v>
      </c>
      <c r="H12" s="6" t="str">
        <f>Sheet7!A5</f>
        <v>Arsenal</v>
      </c>
      <c r="I12" s="6">
        <f>Sheet7!B5</f>
        <v>84</v>
      </c>
      <c r="J12" s="6">
        <f>Sheet7!C5</f>
        <v>28</v>
      </c>
      <c r="K12" s="11">
        <f>Sheet7!D5</f>
        <v>17</v>
      </c>
    </row>
    <row r="13" spans="3:39" x14ac:dyDescent="0.5">
      <c r="G13" s="10">
        <v>3</v>
      </c>
      <c r="H13" s="6" t="str">
        <f>Sheet7!A6</f>
        <v>Manchester Utd</v>
      </c>
      <c r="I13" s="6">
        <f>Sheet7!B6</f>
        <v>75</v>
      </c>
      <c r="J13" s="6">
        <f>Sheet7!C6</f>
        <v>26</v>
      </c>
      <c r="K13" s="11">
        <f>Sheet7!D6</f>
        <v>-11</v>
      </c>
    </row>
    <row r="14" spans="3:39" x14ac:dyDescent="0.5">
      <c r="G14" s="10">
        <v>4</v>
      </c>
      <c r="H14" s="6" t="str">
        <f>Sheet7!A7</f>
        <v>Newcastle Utd</v>
      </c>
      <c r="I14" s="6">
        <f>Sheet7!B7</f>
        <v>71</v>
      </c>
      <c r="J14" s="6">
        <f>Sheet7!C7</f>
        <v>22</v>
      </c>
      <c r="K14" s="11">
        <f>Sheet7!D7</f>
        <v>13</v>
      </c>
    </row>
    <row r="15" spans="3:39" x14ac:dyDescent="0.5">
      <c r="G15" s="10">
        <v>5</v>
      </c>
      <c r="H15" s="6" t="str">
        <f>Sheet7!A8</f>
        <v>Liverpool</v>
      </c>
      <c r="I15" s="6">
        <f>Sheet7!B8</f>
        <v>67</v>
      </c>
      <c r="J15" s="6">
        <f>Sheet7!C8</f>
        <v>29</v>
      </c>
      <c r="K15" s="11">
        <f>Sheet7!D8</f>
        <v>-1</v>
      </c>
    </row>
    <row r="16" spans="3:39" x14ac:dyDescent="0.5">
      <c r="G16" s="10">
        <v>6</v>
      </c>
      <c r="H16" s="6" t="str">
        <f>Sheet7!A9</f>
        <v>Brighton</v>
      </c>
      <c r="I16" s="6">
        <f>Sheet7!B9</f>
        <v>62</v>
      </c>
      <c r="J16" s="6">
        <f>Sheet7!C9</f>
        <v>16</v>
      </c>
      <c r="K16" s="11">
        <f>Sheet7!D9</f>
        <v>3</v>
      </c>
    </row>
    <row r="17" spans="7:11" x14ac:dyDescent="0.5">
      <c r="G17" s="10">
        <v>7</v>
      </c>
      <c r="H17" s="6" t="str">
        <f>Sheet7!A10</f>
        <v>Aston Villa</v>
      </c>
      <c r="I17" s="6">
        <f>Sheet7!B10</f>
        <v>61</v>
      </c>
      <c r="J17" s="6">
        <f>Sheet7!C10</f>
        <v>12</v>
      </c>
      <c r="K17" s="11">
        <f>Sheet7!D10</f>
        <v>-7</v>
      </c>
    </row>
    <row r="18" spans="7:11" x14ac:dyDescent="0.5">
      <c r="G18" s="10">
        <v>8</v>
      </c>
      <c r="H18" s="6" t="str">
        <f>Sheet7!A11</f>
        <v>Tottenham</v>
      </c>
      <c r="I18" s="6">
        <f>Sheet7!B11</f>
        <v>60</v>
      </c>
      <c r="J18" s="6">
        <f>Sheet7!C11</f>
        <v>12</v>
      </c>
      <c r="K18" s="11">
        <f>Sheet7!D11</f>
        <v>-5</v>
      </c>
    </row>
    <row r="19" spans="7:11" x14ac:dyDescent="0.5">
      <c r="G19" s="10">
        <v>9</v>
      </c>
      <c r="H19" s="6" t="str">
        <f>Sheet7!A12</f>
        <v>Brentford</v>
      </c>
      <c r="I19" s="6">
        <f>Sheet7!B12</f>
        <v>59</v>
      </c>
      <c r="J19" s="6">
        <f>Sheet7!C12</f>
        <v>17</v>
      </c>
      <c r="K19" s="11">
        <f>Sheet7!D12</f>
        <v>-5</v>
      </c>
    </row>
    <row r="20" spans="7:11" x14ac:dyDescent="0.5">
      <c r="G20" s="10">
        <v>10</v>
      </c>
      <c r="H20" s="6" t="str">
        <f>Sheet7!A13</f>
        <v>Fulham</v>
      </c>
      <c r="I20" s="6">
        <f>Sheet7!B13</f>
        <v>52</v>
      </c>
      <c r="J20" s="6">
        <f>Sheet7!C13</f>
        <v>2</v>
      </c>
      <c r="K20" s="11">
        <f>Sheet7!D13</f>
        <v>0</v>
      </c>
    </row>
    <row r="21" spans="7:11" x14ac:dyDescent="0.5">
      <c r="G21" s="10">
        <v>11</v>
      </c>
      <c r="H21" s="6" t="str">
        <f>Sheet7!A14</f>
        <v>Crystal Palace</v>
      </c>
      <c r="I21" s="6">
        <f>Sheet7!B14</f>
        <v>45</v>
      </c>
      <c r="J21" s="6">
        <f>Sheet7!C14</f>
        <v>-2</v>
      </c>
      <c r="K21" s="11">
        <f>Sheet7!D14</f>
        <v>-7</v>
      </c>
    </row>
    <row r="22" spans="7:11" x14ac:dyDescent="0.5">
      <c r="G22" s="10">
        <v>12</v>
      </c>
      <c r="H22" s="6" t="str">
        <f>Sheet7!A15</f>
        <v>Chelsea</v>
      </c>
      <c r="I22" s="6">
        <f>Sheet7!B15</f>
        <v>44</v>
      </c>
      <c r="J22" s="6">
        <f>Sheet7!C15</f>
        <v>1</v>
      </c>
      <c r="K22" s="11">
        <f>Sheet7!D15</f>
        <v>-10</v>
      </c>
    </row>
    <row r="23" spans="7:11" x14ac:dyDescent="0.5">
      <c r="G23" s="10">
        <v>13</v>
      </c>
      <c r="H23" s="6" t="str">
        <f>Sheet7!A16</f>
        <v>Wolves</v>
      </c>
      <c r="I23" s="6">
        <f>Sheet7!B16</f>
        <v>41</v>
      </c>
      <c r="J23" s="6">
        <f>Sheet7!C16</f>
        <v>-1</v>
      </c>
      <c r="K23" s="11">
        <f>Sheet7!D16</f>
        <v>-26</v>
      </c>
    </row>
    <row r="24" spans="7:11" x14ac:dyDescent="0.5">
      <c r="G24" s="10">
        <v>14</v>
      </c>
      <c r="H24" s="6" t="str">
        <f>Sheet7!A17</f>
        <v>West Ham</v>
      </c>
      <c r="I24" s="6">
        <f>Sheet7!B17</f>
        <v>40</v>
      </c>
      <c r="J24" s="6">
        <f>Sheet7!C17</f>
        <v>2</v>
      </c>
      <c r="K24" s="11">
        <f>Sheet7!D17</f>
        <v>-15</v>
      </c>
    </row>
    <row r="25" spans="7:11" x14ac:dyDescent="0.5">
      <c r="G25" s="10">
        <v>15</v>
      </c>
      <c r="H25" s="6" t="str">
        <f>Sheet7!A18</f>
        <v>Bournemouth</v>
      </c>
      <c r="I25" s="6">
        <f>Sheet7!B18</f>
        <v>39</v>
      </c>
      <c r="J25" s="6">
        <f>Sheet7!C18</f>
        <v>-8</v>
      </c>
      <c r="K25" s="11">
        <f>Sheet7!D18</f>
        <v>-26</v>
      </c>
    </row>
    <row r="26" spans="7:11" x14ac:dyDescent="0.5">
      <c r="G26" s="10">
        <v>16</v>
      </c>
      <c r="H26" s="6" t="str">
        <f>Sheet7!A19</f>
        <v>Nott'ham Forest</v>
      </c>
      <c r="I26" s="6">
        <f>Sheet7!B19</f>
        <v>38</v>
      </c>
      <c r="J26" s="6">
        <f>Sheet7!C19</f>
        <v>3</v>
      </c>
      <c r="K26" s="11">
        <f>Sheet7!D19</f>
        <v>-33</v>
      </c>
    </row>
    <row r="27" spans="7:11" x14ac:dyDescent="0.5">
      <c r="G27" s="10">
        <v>17</v>
      </c>
      <c r="H27" s="6" t="str">
        <f>Sheet7!A20</f>
        <v>Everton</v>
      </c>
      <c r="I27" s="6">
        <f>Sheet7!B20</f>
        <v>36</v>
      </c>
      <c r="J27" s="6">
        <f>Sheet7!C20</f>
        <v>-11</v>
      </c>
      <c r="K27" s="11">
        <f>Sheet7!D20</f>
        <v>-12</v>
      </c>
    </row>
    <row r="28" spans="7:11" x14ac:dyDescent="0.5">
      <c r="G28" s="10">
        <v>18</v>
      </c>
      <c r="H28" s="6" t="str">
        <f>Sheet7!A21</f>
        <v>Leicester City</v>
      </c>
      <c r="I28" s="6">
        <f>Sheet7!B21</f>
        <v>34</v>
      </c>
      <c r="J28" s="6">
        <f>Sheet7!C21</f>
        <v>-4</v>
      </c>
      <c r="K28" s="11">
        <f>Sheet7!D21</f>
        <v>-13</v>
      </c>
    </row>
    <row r="29" spans="7:11" x14ac:dyDescent="0.5">
      <c r="G29" s="10">
        <v>19</v>
      </c>
      <c r="H29" s="6" t="str">
        <f>Sheet7!A22</f>
        <v>Leeds United</v>
      </c>
      <c r="I29" s="6">
        <f>Sheet7!B22</f>
        <v>31</v>
      </c>
      <c r="J29" s="6">
        <f>Sheet7!C22</f>
        <v>-11</v>
      </c>
      <c r="K29" s="11">
        <f>Sheet7!D22</f>
        <v>-19</v>
      </c>
    </row>
    <row r="30" spans="7:11" ht="32.25" thickBot="1" x14ac:dyDescent="0.55000000000000004">
      <c r="G30" s="12">
        <v>20</v>
      </c>
      <c r="H30" s="13" t="str">
        <f>Sheet7!A23</f>
        <v>Southampton</v>
      </c>
      <c r="I30" s="13">
        <f>Sheet7!B23</f>
        <v>25</v>
      </c>
      <c r="J30" s="13">
        <f>Sheet7!C23</f>
        <v>-18</v>
      </c>
      <c r="K30" s="14">
        <f>Sheet7!D23</f>
        <v>-19</v>
      </c>
    </row>
    <row r="31" spans="7:11" x14ac:dyDescent="0.5">
      <c r="G31" s="6"/>
      <c r="H31" s="6"/>
      <c r="I31" s="6"/>
      <c r="J31" s="6"/>
      <c r="K31" s="6"/>
    </row>
    <row r="32" spans="7:11" x14ac:dyDescent="0.5">
      <c r="G32" s="6"/>
      <c r="H32" s="6"/>
      <c r="I32" s="6"/>
      <c r="J32" s="6"/>
      <c r="K32" s="6"/>
    </row>
  </sheetData>
  <mergeCells count="1">
    <mergeCell ref="J2:AM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itch_to_fouls">
                <anchor moveWithCells="1" sizeWithCells="1">
                  <from>
                    <xdr:col>40</xdr:col>
                    <xdr:colOff>495300</xdr:colOff>
                    <xdr:row>6</xdr:row>
                    <xdr:rowOff>0</xdr:rowOff>
                  </from>
                  <to>
                    <xdr:col>44</xdr:col>
                    <xdr:colOff>0</xdr:colOff>
                    <xdr:row>8</xdr:row>
                    <xdr:rowOff>257175</xdr:rowOff>
                  </to>
                </anchor>
              </controlPr>
            </control>
          </mc:Choice>
        </mc:AlternateContent>
        <mc:AlternateContent xmlns:mc="http://schemas.openxmlformats.org/markup-compatibility/2006">
          <mc:Choice Requires="x14">
            <control shapeId="4099" r:id="rId5" name="Button 3">
              <controlPr defaultSize="0" print="0" autoFill="0" autoPict="0" macro="[0]!Switch_to_yellows">
                <anchor moveWithCells="1" sizeWithCells="1">
                  <from>
                    <xdr:col>45</xdr:col>
                    <xdr:colOff>0</xdr:colOff>
                    <xdr:row>6</xdr:row>
                    <xdr:rowOff>0</xdr:rowOff>
                  </from>
                  <to>
                    <xdr:col>50</xdr:col>
                    <xdr:colOff>342900</xdr:colOff>
                    <xdr:row>8</xdr:row>
                    <xdr:rowOff>266700</xdr:rowOff>
                  </to>
                </anchor>
              </controlPr>
            </control>
          </mc:Choice>
        </mc:AlternateContent>
        <mc:AlternateContent xmlns:mc="http://schemas.openxmlformats.org/markup-compatibility/2006">
          <mc:Choice Requires="x14">
            <control shapeId="4100" r:id="rId6" name="Button 4">
              <controlPr defaultSize="0" print="0" autoFill="0" autoPict="0" macro="[0]!Switch_to_Reds">
                <anchor moveWithCells="1" sizeWithCells="1">
                  <from>
                    <xdr:col>51</xdr:col>
                    <xdr:colOff>219075</xdr:colOff>
                    <xdr:row>6</xdr:row>
                    <xdr:rowOff>0</xdr:rowOff>
                  </from>
                  <to>
                    <xdr:col>56</xdr:col>
                    <xdr:colOff>561975</xdr:colOff>
                    <xdr:row>8</xdr:row>
                    <xdr:rowOff>266700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A641-5400-4484-B9F1-62F6E5496590}">
  <sheetPr codeName="Sheet9"/>
  <dimension ref="A3:H93"/>
  <sheetViews>
    <sheetView workbookViewId="0">
      <selection activeCell="H2" sqref="H2"/>
    </sheetView>
  </sheetViews>
  <sheetFormatPr defaultRowHeight="15" x14ac:dyDescent="0.25"/>
  <cols>
    <col min="1" max="1" width="13.42578125" bestFit="1" customWidth="1"/>
    <col min="2" max="2" width="10.7109375" bestFit="1" customWidth="1"/>
    <col min="3" max="3" width="9.85546875" bestFit="1" customWidth="1"/>
    <col min="4" max="4" width="20.85546875" bestFit="1" customWidth="1"/>
    <col min="5" max="5" width="20" bestFit="1" customWidth="1"/>
    <col min="6" max="6" width="13.42578125" bestFit="1" customWidth="1"/>
    <col min="7" max="7" width="18.42578125" bestFit="1" customWidth="1"/>
    <col min="8" max="8" width="17.5703125" bestFit="1" customWidth="1"/>
  </cols>
  <sheetData>
    <row r="3" spans="1:3" x14ac:dyDescent="0.25">
      <c r="A3" s="1" t="s">
        <v>61</v>
      </c>
      <c r="B3" t="s">
        <v>116</v>
      </c>
      <c r="C3" t="s">
        <v>117</v>
      </c>
    </row>
    <row r="4" spans="1:3" x14ac:dyDescent="0.25">
      <c r="A4" s="2" t="s">
        <v>92</v>
      </c>
      <c r="B4">
        <v>3888</v>
      </c>
      <c r="C4">
        <v>3979</v>
      </c>
    </row>
    <row r="5" spans="1:3" x14ac:dyDescent="0.25">
      <c r="A5" s="2" t="s">
        <v>105</v>
      </c>
      <c r="B5">
        <v>3380</v>
      </c>
      <c r="C5">
        <v>3177</v>
      </c>
    </row>
    <row r="6" spans="1:3" x14ac:dyDescent="0.25">
      <c r="A6" s="2" t="s">
        <v>110</v>
      </c>
      <c r="B6">
        <v>2657</v>
      </c>
      <c r="C6">
        <v>2718</v>
      </c>
    </row>
    <row r="7" spans="1:3" x14ac:dyDescent="0.25">
      <c r="A7" s="2" t="s">
        <v>93</v>
      </c>
      <c r="B7">
        <v>2840</v>
      </c>
      <c r="C7">
        <v>2962</v>
      </c>
    </row>
    <row r="8" spans="1:3" x14ac:dyDescent="0.25">
      <c r="A8" s="2" t="s">
        <v>97</v>
      </c>
      <c r="B8">
        <v>1046</v>
      </c>
      <c r="C8">
        <v>1062</v>
      </c>
    </row>
    <row r="9" spans="1:3" x14ac:dyDescent="0.25">
      <c r="A9" s="2" t="s">
        <v>107</v>
      </c>
      <c r="B9">
        <v>2277</v>
      </c>
      <c r="C9">
        <v>2295</v>
      </c>
    </row>
    <row r="10" spans="1:3" x14ac:dyDescent="0.25">
      <c r="A10" s="2" t="s">
        <v>112</v>
      </c>
      <c r="B10">
        <v>1909</v>
      </c>
      <c r="C10">
        <v>1934</v>
      </c>
    </row>
    <row r="11" spans="1:3" x14ac:dyDescent="0.25">
      <c r="A11" s="2" t="s">
        <v>91</v>
      </c>
      <c r="B11">
        <v>3510</v>
      </c>
      <c r="C11">
        <v>3597</v>
      </c>
    </row>
    <row r="12" spans="1:3" x14ac:dyDescent="0.25">
      <c r="A12" s="2" t="s">
        <v>102</v>
      </c>
      <c r="B12">
        <v>2833</v>
      </c>
      <c r="C12">
        <v>2931</v>
      </c>
    </row>
    <row r="13" spans="1:3" x14ac:dyDescent="0.25">
      <c r="A13" s="2" t="s">
        <v>104</v>
      </c>
      <c r="B13">
        <v>2877</v>
      </c>
      <c r="C13">
        <v>2933</v>
      </c>
    </row>
    <row r="14" spans="1:3" x14ac:dyDescent="0.25">
      <c r="A14" s="2" t="s">
        <v>98</v>
      </c>
      <c r="B14">
        <v>3106</v>
      </c>
      <c r="C14">
        <v>3300</v>
      </c>
    </row>
    <row r="15" spans="1:3" x14ac:dyDescent="0.25">
      <c r="A15" s="2" t="s">
        <v>95</v>
      </c>
      <c r="B15">
        <v>1829</v>
      </c>
      <c r="C15">
        <v>2016</v>
      </c>
    </row>
    <row r="16" spans="1:3" x14ac:dyDescent="0.25">
      <c r="A16" s="2" t="s">
        <v>111</v>
      </c>
      <c r="B16">
        <v>4815</v>
      </c>
      <c r="C16">
        <v>5223</v>
      </c>
    </row>
    <row r="17" spans="1:8" x14ac:dyDescent="0.25">
      <c r="A17" s="2" t="s">
        <v>106</v>
      </c>
      <c r="B17">
        <v>3270</v>
      </c>
      <c r="C17">
        <v>3332</v>
      </c>
    </row>
    <row r="18" spans="1:8" x14ac:dyDescent="0.25">
      <c r="A18" s="2" t="s">
        <v>96</v>
      </c>
      <c r="B18">
        <v>5889</v>
      </c>
      <c r="C18">
        <v>5905</v>
      </c>
    </row>
    <row r="19" spans="1:8" x14ac:dyDescent="0.25">
      <c r="A19" s="2" t="s">
        <v>101</v>
      </c>
      <c r="B19">
        <v>2379</v>
      </c>
      <c r="C19">
        <v>2589</v>
      </c>
    </row>
    <row r="20" spans="1:8" x14ac:dyDescent="0.25">
      <c r="A20" s="2" t="s">
        <v>108</v>
      </c>
      <c r="B20">
        <v>2256</v>
      </c>
      <c r="C20">
        <v>2471</v>
      </c>
    </row>
    <row r="21" spans="1:8" x14ac:dyDescent="0.25">
      <c r="A21" s="2" t="s">
        <v>94</v>
      </c>
      <c r="B21">
        <v>3434</v>
      </c>
      <c r="C21">
        <v>3520</v>
      </c>
    </row>
    <row r="22" spans="1:8" x14ac:dyDescent="0.25">
      <c r="A22" s="2" t="s">
        <v>90</v>
      </c>
      <c r="B22">
        <v>2418</v>
      </c>
      <c r="C22">
        <v>2447</v>
      </c>
    </row>
    <row r="23" spans="1:8" x14ac:dyDescent="0.25">
      <c r="A23" s="2" t="s">
        <v>113</v>
      </c>
      <c r="B23">
        <v>1337</v>
      </c>
      <c r="C23">
        <v>1425</v>
      </c>
    </row>
    <row r="24" spans="1:8" x14ac:dyDescent="0.25">
      <c r="A24" s="2" t="s">
        <v>100</v>
      </c>
      <c r="B24">
        <v>3646</v>
      </c>
      <c r="C24">
        <v>3983</v>
      </c>
    </row>
    <row r="25" spans="1:8" x14ac:dyDescent="0.25">
      <c r="A25" s="2" t="s">
        <v>115</v>
      </c>
      <c r="B25">
        <v>1377</v>
      </c>
      <c r="C25">
        <v>1393</v>
      </c>
    </row>
    <row r="26" spans="1:8" x14ac:dyDescent="0.25">
      <c r="A26" s="2" t="s">
        <v>109</v>
      </c>
      <c r="B26">
        <v>1746</v>
      </c>
      <c r="C26">
        <v>1870</v>
      </c>
    </row>
    <row r="27" spans="1:8" x14ac:dyDescent="0.25">
      <c r="A27" s="2" t="s">
        <v>114</v>
      </c>
      <c r="B27">
        <v>1892</v>
      </c>
      <c r="C27">
        <v>2035</v>
      </c>
    </row>
    <row r="28" spans="1:8" x14ac:dyDescent="0.25">
      <c r="A28" s="2" t="s">
        <v>103</v>
      </c>
      <c r="B28">
        <v>1610</v>
      </c>
      <c r="C28">
        <v>1575</v>
      </c>
    </row>
    <row r="29" spans="1:8" x14ac:dyDescent="0.25">
      <c r="A29" s="2" t="s">
        <v>99</v>
      </c>
      <c r="B29">
        <v>2499</v>
      </c>
      <c r="C29">
        <v>2571</v>
      </c>
    </row>
    <row r="30" spans="1:8" x14ac:dyDescent="0.25">
      <c r="A30" s="2" t="s">
        <v>62</v>
      </c>
      <c r="B30">
        <v>70720</v>
      </c>
      <c r="C30">
        <v>73243</v>
      </c>
    </row>
    <row r="32" spans="1:8" x14ac:dyDescent="0.25">
      <c r="F32" s="1" t="s">
        <v>61</v>
      </c>
      <c r="G32" t="s">
        <v>118</v>
      </c>
      <c r="H32" t="s">
        <v>119</v>
      </c>
    </row>
    <row r="33" spans="6:8" x14ac:dyDescent="0.25">
      <c r="F33" s="2" t="s">
        <v>92</v>
      </c>
      <c r="G33">
        <v>22</v>
      </c>
      <c r="H33">
        <v>37</v>
      </c>
    </row>
    <row r="34" spans="6:8" x14ac:dyDescent="0.25">
      <c r="F34" s="2" t="s">
        <v>105</v>
      </c>
      <c r="G34">
        <v>24</v>
      </c>
      <c r="H34">
        <v>19</v>
      </c>
    </row>
    <row r="35" spans="6:8" x14ac:dyDescent="0.25">
      <c r="F35" s="2" t="s">
        <v>110</v>
      </c>
      <c r="G35">
        <v>8</v>
      </c>
      <c r="H35">
        <v>20</v>
      </c>
    </row>
    <row r="36" spans="6:8" x14ac:dyDescent="0.25">
      <c r="F36" s="2" t="s">
        <v>93</v>
      </c>
      <c r="G36">
        <v>10</v>
      </c>
      <c r="H36">
        <v>27</v>
      </c>
    </row>
    <row r="37" spans="6:8" x14ac:dyDescent="0.25">
      <c r="F37" s="2" t="s">
        <v>97</v>
      </c>
      <c r="G37">
        <v>6</v>
      </c>
      <c r="H37">
        <v>3</v>
      </c>
    </row>
    <row r="38" spans="6:8" x14ac:dyDescent="0.25">
      <c r="F38" s="2" t="s">
        <v>107</v>
      </c>
      <c r="G38">
        <v>13</v>
      </c>
      <c r="H38">
        <v>18</v>
      </c>
    </row>
    <row r="39" spans="6:8" x14ac:dyDescent="0.25">
      <c r="F39" s="2" t="s">
        <v>112</v>
      </c>
      <c r="G39">
        <v>7</v>
      </c>
      <c r="H39">
        <v>8</v>
      </c>
    </row>
    <row r="40" spans="6:8" x14ac:dyDescent="0.25">
      <c r="F40" s="2" t="s">
        <v>91</v>
      </c>
      <c r="G40">
        <v>12</v>
      </c>
      <c r="H40">
        <v>21</v>
      </c>
    </row>
    <row r="41" spans="6:8" x14ac:dyDescent="0.25">
      <c r="F41" s="2" t="s">
        <v>102</v>
      </c>
      <c r="G41">
        <v>16</v>
      </c>
      <c r="H41">
        <v>22</v>
      </c>
    </row>
    <row r="42" spans="6:8" x14ac:dyDescent="0.25">
      <c r="F42" s="2" t="s">
        <v>104</v>
      </c>
      <c r="G42">
        <v>14</v>
      </c>
      <c r="H42">
        <v>17</v>
      </c>
    </row>
    <row r="43" spans="6:8" x14ac:dyDescent="0.25">
      <c r="F43" s="2" t="s">
        <v>98</v>
      </c>
      <c r="G43">
        <v>14</v>
      </c>
      <c r="H43">
        <v>26</v>
      </c>
    </row>
    <row r="44" spans="6:8" x14ac:dyDescent="0.25">
      <c r="F44" s="2" t="s">
        <v>95</v>
      </c>
      <c r="G44">
        <v>12</v>
      </c>
      <c r="H44">
        <v>19</v>
      </c>
    </row>
    <row r="45" spans="6:8" x14ac:dyDescent="0.25">
      <c r="F45" s="2" t="s">
        <v>111</v>
      </c>
      <c r="G45">
        <v>29</v>
      </c>
      <c r="H45">
        <v>38</v>
      </c>
    </row>
    <row r="46" spans="6:8" x14ac:dyDescent="0.25">
      <c r="F46" s="2" t="s">
        <v>106</v>
      </c>
      <c r="G46">
        <v>30</v>
      </c>
      <c r="H46">
        <v>17</v>
      </c>
    </row>
    <row r="47" spans="6:8" x14ac:dyDescent="0.25">
      <c r="F47" s="2" t="s">
        <v>96</v>
      </c>
      <c r="G47">
        <v>38</v>
      </c>
      <c r="H47">
        <v>70</v>
      </c>
    </row>
    <row r="48" spans="6:8" x14ac:dyDescent="0.25">
      <c r="F48" s="2" t="s">
        <v>101</v>
      </c>
      <c r="G48">
        <v>11</v>
      </c>
      <c r="H48">
        <v>15</v>
      </c>
    </row>
    <row r="49" spans="6:8" x14ac:dyDescent="0.25">
      <c r="F49" s="2" t="s">
        <v>108</v>
      </c>
      <c r="G49">
        <v>7</v>
      </c>
      <c r="H49">
        <v>20</v>
      </c>
    </row>
    <row r="50" spans="6:8" x14ac:dyDescent="0.25">
      <c r="F50" s="2" t="s">
        <v>94</v>
      </c>
      <c r="G50">
        <v>19</v>
      </c>
      <c r="H50">
        <v>23</v>
      </c>
    </row>
    <row r="51" spans="6:8" x14ac:dyDescent="0.25">
      <c r="F51" s="2" t="s">
        <v>90</v>
      </c>
      <c r="G51">
        <v>19</v>
      </c>
      <c r="H51">
        <v>17</v>
      </c>
    </row>
    <row r="52" spans="6:8" x14ac:dyDescent="0.25">
      <c r="F52" s="2" t="s">
        <v>113</v>
      </c>
      <c r="G52">
        <v>7</v>
      </c>
      <c r="H52">
        <v>4</v>
      </c>
    </row>
    <row r="53" spans="6:8" x14ac:dyDescent="0.25">
      <c r="F53" s="2" t="s">
        <v>100</v>
      </c>
      <c r="G53">
        <v>23</v>
      </c>
      <c r="H53">
        <v>42</v>
      </c>
    </row>
    <row r="54" spans="6:8" x14ac:dyDescent="0.25">
      <c r="F54" s="2" t="s">
        <v>115</v>
      </c>
      <c r="G54">
        <v>6</v>
      </c>
      <c r="H54">
        <v>5</v>
      </c>
    </row>
    <row r="55" spans="6:8" x14ac:dyDescent="0.25">
      <c r="F55" s="2" t="s">
        <v>109</v>
      </c>
      <c r="G55">
        <v>9</v>
      </c>
      <c r="H55">
        <v>11</v>
      </c>
    </row>
    <row r="56" spans="6:8" x14ac:dyDescent="0.25">
      <c r="F56" s="2" t="s">
        <v>114</v>
      </c>
      <c r="G56">
        <v>20</v>
      </c>
      <c r="H56">
        <v>30</v>
      </c>
    </row>
    <row r="57" spans="6:8" x14ac:dyDescent="0.25">
      <c r="F57" s="2" t="s">
        <v>103</v>
      </c>
      <c r="G57">
        <v>3</v>
      </c>
      <c r="H57">
        <v>18</v>
      </c>
    </row>
    <row r="58" spans="6:8" x14ac:dyDescent="0.25">
      <c r="F58" s="2" t="s">
        <v>99</v>
      </c>
      <c r="G58">
        <v>11</v>
      </c>
      <c r="H58">
        <v>30</v>
      </c>
    </row>
    <row r="59" spans="6:8" x14ac:dyDescent="0.25">
      <c r="F59" s="2" t="s">
        <v>62</v>
      </c>
      <c r="G59">
        <v>390</v>
      </c>
      <c r="H59">
        <v>577</v>
      </c>
    </row>
    <row r="66" spans="2:4" x14ac:dyDescent="0.25">
      <c r="B66" s="1" t="s">
        <v>61</v>
      </c>
      <c r="C66" s="1" t="s">
        <v>120</v>
      </c>
      <c r="D66" t="s">
        <v>121</v>
      </c>
    </row>
    <row r="67" spans="2:4" x14ac:dyDescent="0.25">
      <c r="B67" s="2" t="s">
        <v>92</v>
      </c>
      <c r="C67">
        <v>529</v>
      </c>
      <c r="D67">
        <v>646</v>
      </c>
    </row>
    <row r="68" spans="2:4" x14ac:dyDescent="0.25">
      <c r="B68" s="2" t="s">
        <v>105</v>
      </c>
      <c r="C68">
        <v>515</v>
      </c>
      <c r="D68">
        <v>538</v>
      </c>
    </row>
    <row r="69" spans="2:4" x14ac:dyDescent="0.25">
      <c r="B69" s="2" t="s">
        <v>110</v>
      </c>
      <c r="C69">
        <v>287</v>
      </c>
      <c r="D69">
        <v>351</v>
      </c>
    </row>
    <row r="70" spans="2:4" x14ac:dyDescent="0.25">
      <c r="B70" s="2" t="s">
        <v>93</v>
      </c>
      <c r="C70">
        <v>295</v>
      </c>
      <c r="D70">
        <v>401</v>
      </c>
    </row>
    <row r="71" spans="2:4" x14ac:dyDescent="0.25">
      <c r="B71" s="2" t="s">
        <v>97</v>
      </c>
      <c r="C71">
        <v>158</v>
      </c>
      <c r="D71">
        <v>174</v>
      </c>
    </row>
    <row r="72" spans="2:4" x14ac:dyDescent="0.25">
      <c r="B72" s="2" t="s">
        <v>107</v>
      </c>
      <c r="C72">
        <v>327</v>
      </c>
      <c r="D72">
        <v>376</v>
      </c>
    </row>
    <row r="73" spans="2:4" x14ac:dyDescent="0.25">
      <c r="B73" s="2" t="s">
        <v>112</v>
      </c>
      <c r="C73">
        <v>181</v>
      </c>
      <c r="D73">
        <v>253</v>
      </c>
    </row>
    <row r="74" spans="2:4" x14ac:dyDescent="0.25">
      <c r="B74" s="2" t="s">
        <v>91</v>
      </c>
      <c r="C74">
        <v>427</v>
      </c>
      <c r="D74">
        <v>555</v>
      </c>
    </row>
    <row r="75" spans="2:4" x14ac:dyDescent="0.25">
      <c r="B75" s="2" t="s">
        <v>102</v>
      </c>
      <c r="C75">
        <v>408</v>
      </c>
      <c r="D75">
        <v>468</v>
      </c>
    </row>
    <row r="76" spans="2:4" x14ac:dyDescent="0.25">
      <c r="B76" s="2" t="s">
        <v>104</v>
      </c>
      <c r="C76">
        <v>435</v>
      </c>
      <c r="D76">
        <v>469</v>
      </c>
    </row>
    <row r="77" spans="2:4" x14ac:dyDescent="0.25">
      <c r="B77" s="2" t="s">
        <v>98</v>
      </c>
      <c r="C77">
        <v>398</v>
      </c>
      <c r="D77">
        <v>484</v>
      </c>
    </row>
    <row r="78" spans="2:4" x14ac:dyDescent="0.25">
      <c r="B78" s="2" t="s">
        <v>95</v>
      </c>
      <c r="C78">
        <v>194</v>
      </c>
      <c r="D78">
        <v>264</v>
      </c>
    </row>
    <row r="79" spans="2:4" x14ac:dyDescent="0.25">
      <c r="B79" s="2" t="s">
        <v>111</v>
      </c>
      <c r="C79">
        <v>659</v>
      </c>
      <c r="D79">
        <v>815</v>
      </c>
    </row>
    <row r="80" spans="2:4" x14ac:dyDescent="0.25">
      <c r="B80" s="2" t="s">
        <v>106</v>
      </c>
      <c r="C80">
        <v>435</v>
      </c>
      <c r="D80">
        <v>518</v>
      </c>
    </row>
    <row r="81" spans="2:4" x14ac:dyDescent="0.25">
      <c r="B81" s="2" t="s">
        <v>96</v>
      </c>
      <c r="C81">
        <v>942</v>
      </c>
      <c r="D81">
        <v>989</v>
      </c>
    </row>
    <row r="82" spans="2:4" x14ac:dyDescent="0.25">
      <c r="B82" s="2" t="s">
        <v>101</v>
      </c>
      <c r="C82">
        <v>186</v>
      </c>
      <c r="D82">
        <v>284</v>
      </c>
    </row>
    <row r="83" spans="2:4" x14ac:dyDescent="0.25">
      <c r="B83" s="2" t="s">
        <v>108</v>
      </c>
      <c r="C83">
        <v>280</v>
      </c>
      <c r="D83">
        <v>360</v>
      </c>
    </row>
    <row r="84" spans="2:4" x14ac:dyDescent="0.25">
      <c r="B84" s="2" t="s">
        <v>94</v>
      </c>
      <c r="C84">
        <v>468</v>
      </c>
      <c r="D84">
        <v>521</v>
      </c>
    </row>
    <row r="85" spans="2:4" x14ac:dyDescent="0.25">
      <c r="B85" s="2" t="s">
        <v>90</v>
      </c>
      <c r="C85">
        <v>264</v>
      </c>
      <c r="D85">
        <v>345</v>
      </c>
    </row>
    <row r="86" spans="2:4" x14ac:dyDescent="0.25">
      <c r="B86" s="2" t="s">
        <v>113</v>
      </c>
      <c r="C86">
        <v>220</v>
      </c>
      <c r="D86">
        <v>220</v>
      </c>
    </row>
    <row r="87" spans="2:4" x14ac:dyDescent="0.25">
      <c r="B87" s="2" t="s">
        <v>100</v>
      </c>
      <c r="C87">
        <v>436</v>
      </c>
      <c r="D87">
        <v>629</v>
      </c>
    </row>
    <row r="88" spans="2:4" x14ac:dyDescent="0.25">
      <c r="B88" s="2" t="s">
        <v>115</v>
      </c>
      <c r="C88">
        <v>196</v>
      </c>
      <c r="D88">
        <v>212</v>
      </c>
    </row>
    <row r="89" spans="2:4" x14ac:dyDescent="0.25">
      <c r="B89" s="2" t="s">
        <v>109</v>
      </c>
      <c r="C89">
        <v>203</v>
      </c>
      <c r="D89">
        <v>278</v>
      </c>
    </row>
    <row r="90" spans="2:4" x14ac:dyDescent="0.25">
      <c r="B90" s="2" t="s">
        <v>114</v>
      </c>
      <c r="C90">
        <v>249</v>
      </c>
      <c r="D90">
        <v>321</v>
      </c>
    </row>
    <row r="91" spans="2:4" x14ac:dyDescent="0.25">
      <c r="B91" s="2" t="s">
        <v>103</v>
      </c>
      <c r="C91">
        <v>260</v>
      </c>
      <c r="D91">
        <v>283</v>
      </c>
    </row>
    <row r="92" spans="2:4" x14ac:dyDescent="0.25">
      <c r="B92" s="2" t="s">
        <v>99</v>
      </c>
      <c r="C92">
        <v>300</v>
      </c>
      <c r="D92">
        <v>419</v>
      </c>
    </row>
    <row r="93" spans="2:4" x14ac:dyDescent="0.25">
      <c r="B93" s="2" t="s">
        <v>62</v>
      </c>
      <c r="C93">
        <v>9252</v>
      </c>
      <c r="D93">
        <v>11173</v>
      </c>
    </row>
  </sheetData>
  <pageMargins left="0.7" right="0.7" top="0.75" bottom="0.75" header="0.3" footer="0.3"/>
  <pageSetup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3DE8-73D5-411E-9226-B92C43F6337D}">
  <sheetPr codeName="Sheet11"/>
  <dimension ref="A1:G27"/>
  <sheetViews>
    <sheetView workbookViewId="0">
      <selection activeCell="I40" sqref="I40"/>
    </sheetView>
  </sheetViews>
  <sheetFormatPr defaultRowHeight="15" x14ac:dyDescent="0.25"/>
  <cols>
    <col min="1" max="1" width="13.28515625" bestFit="1" customWidth="1"/>
    <col min="2" max="2" width="11.42578125" bestFit="1" customWidth="1"/>
    <col min="3" max="3" width="10.85546875" bestFit="1" customWidth="1"/>
    <col min="4" max="4" width="13.42578125" bestFit="1" customWidth="1"/>
    <col min="5" max="5" width="12.7109375" bestFit="1" customWidth="1"/>
    <col min="6" max="6" width="10.85546875" bestFit="1" customWidth="1"/>
    <col min="7" max="7" width="10.28515625" bestFit="1" customWidth="1"/>
  </cols>
  <sheetData>
    <row r="1" spans="1:7" x14ac:dyDescent="0.25">
      <c r="A1" t="s">
        <v>74</v>
      </c>
      <c r="B1" t="s">
        <v>84</v>
      </c>
      <c r="C1" t="s">
        <v>85</v>
      </c>
      <c r="D1" t="s">
        <v>86</v>
      </c>
      <c r="E1" t="s">
        <v>87</v>
      </c>
      <c r="F1" t="s">
        <v>88</v>
      </c>
      <c r="G1" t="s">
        <v>89</v>
      </c>
    </row>
    <row r="2" spans="1:7" x14ac:dyDescent="0.25">
      <c r="A2" t="s">
        <v>90</v>
      </c>
      <c r="B2">
        <v>2418</v>
      </c>
      <c r="C2">
        <v>2447</v>
      </c>
      <c r="D2">
        <v>264</v>
      </c>
      <c r="E2">
        <v>345</v>
      </c>
      <c r="F2">
        <v>19</v>
      </c>
      <c r="G2">
        <v>17</v>
      </c>
    </row>
    <row r="3" spans="1:7" x14ac:dyDescent="0.25">
      <c r="A3" t="s">
        <v>91</v>
      </c>
      <c r="B3">
        <v>3510</v>
      </c>
      <c r="C3">
        <v>3597</v>
      </c>
      <c r="D3">
        <v>427</v>
      </c>
      <c r="E3">
        <v>555</v>
      </c>
      <c r="F3">
        <v>12</v>
      </c>
      <c r="G3">
        <v>21</v>
      </c>
    </row>
    <row r="4" spans="1:7" x14ac:dyDescent="0.25">
      <c r="A4" t="s">
        <v>92</v>
      </c>
      <c r="B4">
        <v>3888</v>
      </c>
      <c r="C4">
        <v>3979</v>
      </c>
      <c r="D4">
        <v>529</v>
      </c>
      <c r="E4">
        <v>646</v>
      </c>
      <c r="F4">
        <v>22</v>
      </c>
      <c r="G4">
        <v>37</v>
      </c>
    </row>
    <row r="5" spans="1:7" x14ac:dyDescent="0.25">
      <c r="A5" t="s">
        <v>93</v>
      </c>
      <c r="B5">
        <v>2840</v>
      </c>
      <c r="C5">
        <v>2962</v>
      </c>
      <c r="D5">
        <v>295</v>
      </c>
      <c r="E5">
        <v>401</v>
      </c>
      <c r="F5">
        <v>10</v>
      </c>
      <c r="G5">
        <v>27</v>
      </c>
    </row>
    <row r="6" spans="1:7" x14ac:dyDescent="0.25">
      <c r="A6" t="s">
        <v>94</v>
      </c>
      <c r="B6">
        <v>3434</v>
      </c>
      <c r="C6">
        <v>3520</v>
      </c>
      <c r="D6">
        <v>468</v>
      </c>
      <c r="E6">
        <v>521</v>
      </c>
      <c r="F6">
        <v>19</v>
      </c>
      <c r="G6">
        <v>23</v>
      </c>
    </row>
    <row r="7" spans="1:7" x14ac:dyDescent="0.25">
      <c r="A7" t="s">
        <v>95</v>
      </c>
      <c r="B7">
        <v>1829</v>
      </c>
      <c r="C7">
        <v>2016</v>
      </c>
      <c r="D7">
        <v>194</v>
      </c>
      <c r="E7">
        <v>264</v>
      </c>
      <c r="F7">
        <v>12</v>
      </c>
      <c r="G7">
        <v>19</v>
      </c>
    </row>
    <row r="8" spans="1:7" x14ac:dyDescent="0.25">
      <c r="A8" t="s">
        <v>96</v>
      </c>
      <c r="B8">
        <v>5889</v>
      </c>
      <c r="C8">
        <v>5905</v>
      </c>
      <c r="D8">
        <v>942</v>
      </c>
      <c r="E8">
        <v>989</v>
      </c>
      <c r="F8">
        <v>38</v>
      </c>
      <c r="G8">
        <v>70</v>
      </c>
    </row>
    <row r="9" spans="1:7" x14ac:dyDescent="0.25">
      <c r="A9" t="s">
        <v>97</v>
      </c>
      <c r="B9">
        <v>1046</v>
      </c>
      <c r="C9">
        <v>1062</v>
      </c>
      <c r="D9">
        <v>158</v>
      </c>
      <c r="E9">
        <v>174</v>
      </c>
      <c r="F9">
        <v>6</v>
      </c>
      <c r="G9">
        <v>3</v>
      </c>
    </row>
    <row r="10" spans="1:7" x14ac:dyDescent="0.25">
      <c r="A10" t="s">
        <v>98</v>
      </c>
      <c r="B10">
        <v>3106</v>
      </c>
      <c r="C10">
        <v>3300</v>
      </c>
      <c r="D10">
        <v>398</v>
      </c>
      <c r="E10">
        <v>484</v>
      </c>
      <c r="F10">
        <v>14</v>
      </c>
      <c r="G10">
        <v>26</v>
      </c>
    </row>
    <row r="11" spans="1:7" x14ac:dyDescent="0.25">
      <c r="A11" t="s">
        <v>99</v>
      </c>
      <c r="B11">
        <v>2499</v>
      </c>
      <c r="C11">
        <v>2571</v>
      </c>
      <c r="D11">
        <v>300</v>
      </c>
      <c r="E11">
        <v>419</v>
      </c>
      <c r="F11">
        <v>11</v>
      </c>
      <c r="G11">
        <v>30</v>
      </c>
    </row>
    <row r="12" spans="1:7" x14ac:dyDescent="0.25">
      <c r="A12" t="s">
        <v>100</v>
      </c>
      <c r="B12">
        <v>3646</v>
      </c>
      <c r="C12">
        <v>3983</v>
      </c>
      <c r="D12">
        <v>436</v>
      </c>
      <c r="E12">
        <v>629</v>
      </c>
      <c r="F12">
        <v>23</v>
      </c>
      <c r="G12">
        <v>42</v>
      </c>
    </row>
    <row r="13" spans="1:7" x14ac:dyDescent="0.25">
      <c r="A13" t="s">
        <v>101</v>
      </c>
      <c r="B13">
        <v>2379</v>
      </c>
      <c r="C13">
        <v>2589</v>
      </c>
      <c r="D13">
        <v>186</v>
      </c>
      <c r="E13">
        <v>284</v>
      </c>
      <c r="F13">
        <v>11</v>
      </c>
      <c r="G13">
        <v>15</v>
      </c>
    </row>
    <row r="14" spans="1:7" x14ac:dyDescent="0.25">
      <c r="A14" t="s">
        <v>102</v>
      </c>
      <c r="B14">
        <v>2833</v>
      </c>
      <c r="C14">
        <v>2931</v>
      </c>
      <c r="D14">
        <v>408</v>
      </c>
      <c r="E14">
        <v>468</v>
      </c>
      <c r="F14">
        <v>16</v>
      </c>
      <c r="G14">
        <v>22</v>
      </c>
    </row>
    <row r="15" spans="1:7" x14ac:dyDescent="0.25">
      <c r="A15" t="s">
        <v>103</v>
      </c>
      <c r="B15">
        <v>1610</v>
      </c>
      <c r="C15">
        <v>1575</v>
      </c>
      <c r="D15">
        <v>260</v>
      </c>
      <c r="E15">
        <v>283</v>
      </c>
      <c r="F15">
        <v>3</v>
      </c>
      <c r="G15">
        <v>18</v>
      </c>
    </row>
    <row r="16" spans="1:7" x14ac:dyDescent="0.25">
      <c r="A16" t="s">
        <v>104</v>
      </c>
      <c r="B16">
        <v>2877</v>
      </c>
      <c r="C16">
        <v>2933</v>
      </c>
      <c r="D16">
        <v>435</v>
      </c>
      <c r="E16">
        <v>469</v>
      </c>
      <c r="F16">
        <v>14</v>
      </c>
      <c r="G16">
        <v>17</v>
      </c>
    </row>
    <row r="17" spans="1:7" x14ac:dyDescent="0.25">
      <c r="A17" t="s">
        <v>105</v>
      </c>
      <c r="B17">
        <v>3380</v>
      </c>
      <c r="C17">
        <v>3177</v>
      </c>
      <c r="D17">
        <v>515</v>
      </c>
      <c r="E17">
        <v>538</v>
      </c>
      <c r="F17">
        <v>24</v>
      </c>
      <c r="G17">
        <v>19</v>
      </c>
    </row>
    <row r="18" spans="1:7" x14ac:dyDescent="0.25">
      <c r="A18" t="s">
        <v>106</v>
      </c>
      <c r="B18">
        <v>3270</v>
      </c>
      <c r="C18">
        <v>3332</v>
      </c>
      <c r="D18">
        <v>435</v>
      </c>
      <c r="E18">
        <v>518</v>
      </c>
      <c r="F18">
        <v>30</v>
      </c>
      <c r="G18">
        <v>17</v>
      </c>
    </row>
    <row r="19" spans="1:7" x14ac:dyDescent="0.25">
      <c r="A19" t="s">
        <v>107</v>
      </c>
      <c r="B19">
        <v>2277</v>
      </c>
      <c r="C19">
        <v>2295</v>
      </c>
      <c r="D19">
        <v>327</v>
      </c>
      <c r="E19">
        <v>376</v>
      </c>
      <c r="F19">
        <v>13</v>
      </c>
      <c r="G19">
        <v>18</v>
      </c>
    </row>
    <row r="20" spans="1:7" x14ac:dyDescent="0.25">
      <c r="A20" t="s">
        <v>108</v>
      </c>
      <c r="B20">
        <v>2256</v>
      </c>
      <c r="C20">
        <v>2471</v>
      </c>
      <c r="D20">
        <v>280</v>
      </c>
      <c r="E20">
        <v>360</v>
      </c>
      <c r="F20">
        <v>7</v>
      </c>
      <c r="G20">
        <v>20</v>
      </c>
    </row>
    <row r="21" spans="1:7" x14ac:dyDescent="0.25">
      <c r="A21" t="s">
        <v>109</v>
      </c>
      <c r="B21">
        <v>1746</v>
      </c>
      <c r="C21">
        <v>1870</v>
      </c>
      <c r="D21">
        <v>203</v>
      </c>
      <c r="E21">
        <v>278</v>
      </c>
      <c r="F21">
        <v>9</v>
      </c>
      <c r="G21">
        <v>11</v>
      </c>
    </row>
    <row r="22" spans="1:7" x14ac:dyDescent="0.25">
      <c r="A22" t="s">
        <v>110</v>
      </c>
      <c r="B22">
        <v>2657</v>
      </c>
      <c r="C22">
        <v>2718</v>
      </c>
      <c r="D22">
        <v>287</v>
      </c>
      <c r="E22">
        <v>351</v>
      </c>
      <c r="F22">
        <v>8</v>
      </c>
      <c r="G22">
        <v>20</v>
      </c>
    </row>
    <row r="23" spans="1:7" x14ac:dyDescent="0.25">
      <c r="A23" t="s">
        <v>111</v>
      </c>
      <c r="B23">
        <v>4815</v>
      </c>
      <c r="C23">
        <v>5223</v>
      </c>
      <c r="D23">
        <v>659</v>
      </c>
      <c r="E23">
        <v>815</v>
      </c>
      <c r="F23">
        <v>29</v>
      </c>
      <c r="G23">
        <v>38</v>
      </c>
    </row>
    <row r="24" spans="1:7" x14ac:dyDescent="0.25">
      <c r="A24" t="s">
        <v>112</v>
      </c>
      <c r="B24">
        <v>1909</v>
      </c>
      <c r="C24">
        <v>1934</v>
      </c>
      <c r="D24">
        <v>181</v>
      </c>
      <c r="E24">
        <v>253</v>
      </c>
      <c r="F24">
        <v>7</v>
      </c>
      <c r="G24">
        <v>8</v>
      </c>
    </row>
    <row r="25" spans="1:7" x14ac:dyDescent="0.25">
      <c r="A25" t="s">
        <v>113</v>
      </c>
      <c r="B25">
        <v>1337</v>
      </c>
      <c r="C25">
        <v>1425</v>
      </c>
      <c r="D25">
        <v>220</v>
      </c>
      <c r="E25">
        <v>220</v>
      </c>
      <c r="F25">
        <v>7</v>
      </c>
      <c r="G25">
        <v>4</v>
      </c>
    </row>
    <row r="26" spans="1:7" x14ac:dyDescent="0.25">
      <c r="A26" t="s">
        <v>114</v>
      </c>
      <c r="B26">
        <v>1892</v>
      </c>
      <c r="C26">
        <v>2035</v>
      </c>
      <c r="D26">
        <v>249</v>
      </c>
      <c r="E26">
        <v>321</v>
      </c>
      <c r="F26">
        <v>20</v>
      </c>
      <c r="G26">
        <v>30</v>
      </c>
    </row>
    <row r="27" spans="1:7" x14ac:dyDescent="0.25">
      <c r="A27" t="s">
        <v>115</v>
      </c>
      <c r="B27">
        <v>1377</v>
      </c>
      <c r="C27">
        <v>1393</v>
      </c>
      <c r="D27">
        <v>196</v>
      </c>
      <c r="E27">
        <v>212</v>
      </c>
      <c r="F27">
        <v>6</v>
      </c>
      <c r="G27">
        <v>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A656B-B34B-4796-9F76-AA868D15F3E3}">
  <sheetPr codeName="Sheet15"/>
  <dimension ref="A1:D21"/>
  <sheetViews>
    <sheetView workbookViewId="0">
      <selection activeCell="P57" sqref="P57"/>
    </sheetView>
  </sheetViews>
  <sheetFormatPr defaultRowHeight="15" x14ac:dyDescent="0.25"/>
  <cols>
    <col min="1" max="1" width="23.5703125" bestFit="1" customWidth="1"/>
    <col min="2" max="2" width="11.5703125" bestFit="1" customWidth="1"/>
    <col min="3" max="3" width="11" bestFit="1" customWidth="1"/>
    <col min="4" max="4" width="14.28515625" bestFit="1" customWidth="1"/>
  </cols>
  <sheetData>
    <row r="1" spans="1:4" ht="16.5" x14ac:dyDescent="0.25">
      <c r="A1" s="15" t="s">
        <v>0</v>
      </c>
      <c r="B1" s="15" t="s">
        <v>124</v>
      </c>
      <c r="C1" s="15" t="s">
        <v>125</v>
      </c>
      <c r="D1" s="15" t="s">
        <v>133</v>
      </c>
    </row>
    <row r="2" spans="1:4" x14ac:dyDescent="0.25">
      <c r="A2" t="s">
        <v>123</v>
      </c>
      <c r="B2">
        <v>105</v>
      </c>
      <c r="C2">
        <v>71</v>
      </c>
      <c r="D2">
        <f>C2*B2</f>
        <v>7455</v>
      </c>
    </row>
    <row r="3" spans="1:4" x14ac:dyDescent="0.25">
      <c r="A3" t="s">
        <v>23</v>
      </c>
      <c r="B3">
        <v>103</v>
      </c>
      <c r="C3">
        <v>70</v>
      </c>
      <c r="D3">
        <f t="shared" ref="D3:D21" si="0">C3*B3</f>
        <v>7210</v>
      </c>
    </row>
    <row r="4" spans="1:4" x14ac:dyDescent="0.25">
      <c r="A4" t="s">
        <v>20</v>
      </c>
      <c r="B4">
        <v>105</v>
      </c>
      <c r="C4">
        <v>68</v>
      </c>
      <c r="D4">
        <f t="shared" si="0"/>
        <v>7140</v>
      </c>
    </row>
    <row r="5" spans="1:4" x14ac:dyDescent="0.25">
      <c r="A5" t="s">
        <v>12</v>
      </c>
      <c r="B5">
        <v>105</v>
      </c>
      <c r="C5">
        <v>68</v>
      </c>
      <c r="D5">
        <f t="shared" si="0"/>
        <v>7140</v>
      </c>
    </row>
    <row r="6" spans="1:4" x14ac:dyDescent="0.25">
      <c r="A6" t="s">
        <v>57</v>
      </c>
      <c r="B6">
        <v>105</v>
      </c>
      <c r="C6">
        <v>68</v>
      </c>
      <c r="D6">
        <f t="shared" si="0"/>
        <v>7140</v>
      </c>
    </row>
    <row r="7" spans="1:4" x14ac:dyDescent="0.25">
      <c r="A7" t="s">
        <v>60</v>
      </c>
      <c r="B7">
        <v>105</v>
      </c>
      <c r="C7">
        <v>68</v>
      </c>
      <c r="D7">
        <f t="shared" si="0"/>
        <v>7140</v>
      </c>
    </row>
    <row r="8" spans="1:4" x14ac:dyDescent="0.25">
      <c r="A8" t="s">
        <v>126</v>
      </c>
      <c r="B8">
        <v>105</v>
      </c>
      <c r="C8">
        <v>68</v>
      </c>
      <c r="D8">
        <f t="shared" si="0"/>
        <v>7140</v>
      </c>
    </row>
    <row r="9" spans="1:4" x14ac:dyDescent="0.25">
      <c r="A9" t="s">
        <v>53</v>
      </c>
      <c r="B9">
        <v>105</v>
      </c>
      <c r="C9">
        <v>68</v>
      </c>
      <c r="D9">
        <f t="shared" si="0"/>
        <v>7140</v>
      </c>
    </row>
    <row r="10" spans="1:4" x14ac:dyDescent="0.25">
      <c r="A10" t="s">
        <v>19</v>
      </c>
      <c r="B10">
        <v>105</v>
      </c>
      <c r="C10">
        <v>68</v>
      </c>
      <c r="D10">
        <f t="shared" si="0"/>
        <v>7140</v>
      </c>
    </row>
    <row r="11" spans="1:4" x14ac:dyDescent="0.25">
      <c r="A11" t="s">
        <v>127</v>
      </c>
      <c r="B11">
        <v>105</v>
      </c>
      <c r="C11">
        <v>68</v>
      </c>
      <c r="D11">
        <f t="shared" si="0"/>
        <v>7140</v>
      </c>
    </row>
    <row r="12" spans="1:4" x14ac:dyDescent="0.25">
      <c r="A12" t="s">
        <v>128</v>
      </c>
      <c r="B12">
        <v>105</v>
      </c>
      <c r="C12">
        <v>68</v>
      </c>
      <c r="D12">
        <f t="shared" si="0"/>
        <v>7140</v>
      </c>
    </row>
    <row r="13" spans="1:4" x14ac:dyDescent="0.25">
      <c r="A13" t="s">
        <v>129</v>
      </c>
      <c r="B13">
        <v>105</v>
      </c>
      <c r="C13">
        <v>68</v>
      </c>
      <c r="D13">
        <f t="shared" si="0"/>
        <v>7140</v>
      </c>
    </row>
    <row r="14" spans="1:4" x14ac:dyDescent="0.25">
      <c r="A14" t="s">
        <v>130</v>
      </c>
      <c r="B14">
        <v>105</v>
      </c>
      <c r="C14">
        <v>68</v>
      </c>
      <c r="D14">
        <f t="shared" si="0"/>
        <v>7140</v>
      </c>
    </row>
    <row r="15" spans="1:4" x14ac:dyDescent="0.25">
      <c r="A15" t="s">
        <v>48</v>
      </c>
      <c r="B15">
        <v>105</v>
      </c>
      <c r="C15">
        <v>68</v>
      </c>
      <c r="D15">
        <f t="shared" si="0"/>
        <v>7140</v>
      </c>
    </row>
    <row r="16" spans="1:4" x14ac:dyDescent="0.25">
      <c r="A16" t="s">
        <v>21</v>
      </c>
      <c r="B16">
        <v>103</v>
      </c>
      <c r="C16">
        <v>67</v>
      </c>
      <c r="D16">
        <f t="shared" si="0"/>
        <v>6901</v>
      </c>
    </row>
    <row r="17" spans="1:4" x14ac:dyDescent="0.25">
      <c r="A17" t="s">
        <v>17</v>
      </c>
      <c r="B17">
        <v>101</v>
      </c>
      <c r="C17">
        <v>68</v>
      </c>
      <c r="D17">
        <f t="shared" si="0"/>
        <v>6868</v>
      </c>
    </row>
    <row r="18" spans="1:4" x14ac:dyDescent="0.25">
      <c r="A18" t="s">
        <v>131</v>
      </c>
      <c r="B18">
        <v>101</v>
      </c>
      <c r="C18">
        <v>68</v>
      </c>
      <c r="D18">
        <f t="shared" si="0"/>
        <v>6868</v>
      </c>
    </row>
    <row r="19" spans="1:4" x14ac:dyDescent="0.25">
      <c r="A19" t="s">
        <v>29</v>
      </c>
      <c r="B19">
        <v>101</v>
      </c>
      <c r="C19">
        <v>68</v>
      </c>
      <c r="D19">
        <f t="shared" si="0"/>
        <v>6868</v>
      </c>
    </row>
    <row r="20" spans="1:4" x14ac:dyDescent="0.25">
      <c r="A20" t="s">
        <v>132</v>
      </c>
      <c r="B20">
        <v>101</v>
      </c>
      <c r="C20">
        <v>66</v>
      </c>
      <c r="D20">
        <f t="shared" si="0"/>
        <v>6666</v>
      </c>
    </row>
    <row r="21" spans="1:4" x14ac:dyDescent="0.25">
      <c r="A21" t="s">
        <v>44</v>
      </c>
      <c r="B21">
        <v>100</v>
      </c>
      <c r="C21">
        <v>65</v>
      </c>
      <c r="D21">
        <f t="shared" si="0"/>
        <v>6500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5906-73E3-4C28-8E7F-E3494CF6893F}">
  <sheetPr codeName="Sheet16"/>
  <dimension ref="A1:G24"/>
  <sheetViews>
    <sheetView workbookViewId="0">
      <selection activeCell="B4" sqref="B4"/>
    </sheetView>
  </sheetViews>
  <sheetFormatPr defaultRowHeight="15" x14ac:dyDescent="0.25"/>
  <cols>
    <col min="1" max="1" width="25.5703125" bestFit="1" customWidth="1"/>
    <col min="2" max="2" width="21.7109375" bestFit="1" customWidth="1"/>
    <col min="3" max="3" width="28.7109375" bestFit="1" customWidth="1"/>
    <col min="4" max="4" width="22.28515625" bestFit="1" customWidth="1"/>
    <col min="5" max="5" width="21.42578125" bestFit="1" customWidth="1"/>
    <col min="6" max="6" width="25.85546875" bestFit="1" customWidth="1"/>
    <col min="7" max="10" width="24.28515625" bestFit="1" customWidth="1"/>
    <col min="11" max="11" width="21" bestFit="1" customWidth="1"/>
  </cols>
  <sheetData>
    <row r="1" spans="1:7" x14ac:dyDescent="0.25">
      <c r="A1" s="1" t="s">
        <v>134</v>
      </c>
      <c r="B1" t="s">
        <v>72</v>
      </c>
    </row>
    <row r="3" spans="1:7" x14ac:dyDescent="0.25">
      <c r="A3" s="1" t="s">
        <v>61</v>
      </c>
      <c r="B3" t="s">
        <v>312</v>
      </c>
      <c r="C3" t="s">
        <v>313</v>
      </c>
      <c r="D3" t="s">
        <v>314</v>
      </c>
      <c r="E3" t="s">
        <v>317</v>
      </c>
      <c r="F3" t="s">
        <v>315</v>
      </c>
      <c r="G3" t="s">
        <v>316</v>
      </c>
    </row>
    <row r="4" spans="1:7" x14ac:dyDescent="0.25">
      <c r="A4" s="2" t="s">
        <v>20</v>
      </c>
      <c r="B4">
        <v>0.95377668346872135</v>
      </c>
      <c r="C4">
        <v>42.90526315789473</v>
      </c>
      <c r="D4">
        <v>10.526315789473685</v>
      </c>
      <c r="E4">
        <v>77.121052631578934</v>
      </c>
      <c r="F4">
        <v>57.25263157894738</v>
      </c>
      <c r="G4">
        <v>55.231578947368426</v>
      </c>
    </row>
    <row r="5" spans="1:7" x14ac:dyDescent="0.25">
      <c r="A5" s="2" t="s">
        <v>12</v>
      </c>
      <c r="B5">
        <v>0.93506564731711739</v>
      </c>
      <c r="C5">
        <v>51.152631578947364</v>
      </c>
      <c r="D5">
        <v>13.052631578947368</v>
      </c>
      <c r="E5">
        <v>79.984210526315806</v>
      </c>
      <c r="F5">
        <v>59.547368421052624</v>
      </c>
      <c r="G5">
        <v>53.199999999999996</v>
      </c>
    </row>
    <row r="6" spans="1:7" x14ac:dyDescent="0.25">
      <c r="A6" s="2" t="s">
        <v>57</v>
      </c>
      <c r="B6">
        <v>0.95240739254696871</v>
      </c>
      <c r="C6">
        <v>60.668421052631579</v>
      </c>
      <c r="D6">
        <v>17.684210526315791</v>
      </c>
      <c r="E6">
        <v>83.857894736842098</v>
      </c>
      <c r="F6">
        <v>62.1</v>
      </c>
      <c r="G6">
        <v>49.489473684210516</v>
      </c>
    </row>
    <row r="7" spans="1:7" x14ac:dyDescent="0.25">
      <c r="A7" s="2" t="s">
        <v>60</v>
      </c>
      <c r="B7">
        <v>0.93773614586313436</v>
      </c>
      <c r="C7">
        <v>56.731578947368426</v>
      </c>
      <c r="D7">
        <v>16.684210526315791</v>
      </c>
      <c r="E7">
        <v>80.726315789473688</v>
      </c>
      <c r="F7">
        <v>56.80526315789475</v>
      </c>
      <c r="G7">
        <v>49.615789473684202</v>
      </c>
    </row>
    <row r="8" spans="1:7" x14ac:dyDescent="0.25">
      <c r="A8" s="2" t="s">
        <v>126</v>
      </c>
      <c r="B8">
        <v>0.93637103154480172</v>
      </c>
      <c r="C8">
        <v>38.783333333333331</v>
      </c>
      <c r="D8">
        <v>11.777777777777779</v>
      </c>
      <c r="E8">
        <v>76.638888888888886</v>
      </c>
      <c r="F8">
        <v>60.522222222222211</v>
      </c>
      <c r="G8">
        <v>47.466666666666669</v>
      </c>
    </row>
    <row r="9" spans="1:7" x14ac:dyDescent="0.25">
      <c r="A9" s="2" t="s">
        <v>21</v>
      </c>
      <c r="B9">
        <v>0.94746793538483765</v>
      </c>
      <c r="C9">
        <v>41.644444444444446</v>
      </c>
      <c r="D9">
        <v>12.222222222222221</v>
      </c>
      <c r="E9">
        <v>79.077777777777811</v>
      </c>
      <c r="F9">
        <v>58.205555555555556</v>
      </c>
      <c r="G9">
        <v>48.766666666666666</v>
      </c>
    </row>
    <row r="10" spans="1:7" x14ac:dyDescent="0.25">
      <c r="A10" s="2" t="s">
        <v>29</v>
      </c>
      <c r="B10">
        <v>0.94025092918527253</v>
      </c>
      <c r="C10">
        <v>54.526315789473685</v>
      </c>
      <c r="D10">
        <v>12.263157894736842</v>
      </c>
      <c r="E10">
        <v>81.857894736842113</v>
      </c>
      <c r="F10">
        <v>57.121052631578948</v>
      </c>
      <c r="G10">
        <v>55.489473684210537</v>
      </c>
    </row>
    <row r="11" spans="1:7" x14ac:dyDescent="0.25">
      <c r="A11" s="2" t="s">
        <v>23</v>
      </c>
      <c r="B11">
        <v>0.94496495773722977</v>
      </c>
      <c r="C11">
        <v>58.589473684210532</v>
      </c>
      <c r="D11">
        <v>17.05263157894737</v>
      </c>
      <c r="E11">
        <v>82.157894736842096</v>
      </c>
      <c r="F11">
        <v>62.515789473684208</v>
      </c>
      <c r="G11">
        <v>52.31578947368422</v>
      </c>
    </row>
    <row r="12" spans="1:7" x14ac:dyDescent="0.25">
      <c r="A12" s="2" t="s">
        <v>44</v>
      </c>
      <c r="B12">
        <v>0.94463643548388554</v>
      </c>
      <c r="C12">
        <v>53.557894736842101</v>
      </c>
      <c r="D12">
        <v>14.631578947368421</v>
      </c>
      <c r="E12">
        <v>81.094736842105277</v>
      </c>
      <c r="F12">
        <v>58.821052631578929</v>
      </c>
      <c r="G12">
        <v>52.784210526315789</v>
      </c>
    </row>
    <row r="13" spans="1:7" x14ac:dyDescent="0.25">
      <c r="A13" s="2" t="s">
        <v>27</v>
      </c>
      <c r="B13">
        <v>0.94724084099341099</v>
      </c>
      <c r="C13">
        <v>55.005555555555553</v>
      </c>
      <c r="D13">
        <v>14.611111111111111</v>
      </c>
      <c r="E13">
        <v>77.5</v>
      </c>
      <c r="F13">
        <v>58.977777777777774</v>
      </c>
      <c r="G13">
        <v>51.166666666666657</v>
      </c>
    </row>
    <row r="14" spans="1:7" x14ac:dyDescent="0.25">
      <c r="A14" s="2" t="s">
        <v>36</v>
      </c>
      <c r="B14">
        <v>0.9440433166738823</v>
      </c>
      <c r="C14">
        <v>52.636842105263156</v>
      </c>
      <c r="D14">
        <v>17.105263157894736</v>
      </c>
      <c r="E14">
        <v>81.521052631578954</v>
      </c>
      <c r="F14">
        <v>60.000000000000014</v>
      </c>
      <c r="G14">
        <v>52.652631578947364</v>
      </c>
    </row>
    <row r="15" spans="1:7" x14ac:dyDescent="0.25">
      <c r="A15" s="2" t="s">
        <v>17</v>
      </c>
      <c r="B15">
        <v>0.95772736824569704</v>
      </c>
      <c r="C15">
        <v>39.172222222222224</v>
      </c>
      <c r="D15">
        <v>11.166666666666666</v>
      </c>
      <c r="E15">
        <v>74.01666666666668</v>
      </c>
      <c r="F15">
        <v>59.111111111111114</v>
      </c>
      <c r="G15">
        <v>49.211111111111101</v>
      </c>
    </row>
    <row r="16" spans="1:7" x14ac:dyDescent="0.25">
      <c r="A16" s="2" t="s">
        <v>19</v>
      </c>
      <c r="B16">
        <v>0.95180886988151681</v>
      </c>
      <c r="C16">
        <v>35.384210526315783</v>
      </c>
      <c r="D16">
        <v>8.6315789473684212</v>
      </c>
      <c r="E16">
        <v>77.673684210526318</v>
      </c>
      <c r="F16">
        <v>57.505263157894746</v>
      </c>
      <c r="G16">
        <v>43.310526315789481</v>
      </c>
    </row>
    <row r="17" spans="1:7" x14ac:dyDescent="0.25">
      <c r="A17" s="2" t="s">
        <v>127</v>
      </c>
      <c r="B17">
        <v>0.9435462198230854</v>
      </c>
      <c r="C17">
        <v>45.23684210526315</v>
      </c>
      <c r="D17">
        <v>14.263157894736842</v>
      </c>
      <c r="E17">
        <v>77.71052631578948</v>
      </c>
      <c r="F17">
        <v>55.710526315789473</v>
      </c>
      <c r="G17">
        <v>49.110526315789478</v>
      </c>
    </row>
    <row r="18" spans="1:7" x14ac:dyDescent="0.25">
      <c r="A18" s="2" t="s">
        <v>128</v>
      </c>
      <c r="B18">
        <v>0.94506554254514175</v>
      </c>
      <c r="C18">
        <v>49.147368421052633</v>
      </c>
      <c r="D18">
        <v>12.315789473684211</v>
      </c>
      <c r="E18">
        <v>75.631578947368425</v>
      </c>
      <c r="F18">
        <v>60.952631578947361</v>
      </c>
      <c r="G18">
        <v>43.736842105263158</v>
      </c>
    </row>
    <row r="19" spans="1:7" x14ac:dyDescent="0.25">
      <c r="A19" s="2" t="s">
        <v>123</v>
      </c>
      <c r="B19">
        <v>0.951927128769127</v>
      </c>
      <c r="C19">
        <v>60.961111111111109</v>
      </c>
      <c r="D19">
        <v>16.111111111111111</v>
      </c>
      <c r="E19">
        <v>83.333333333333329</v>
      </c>
      <c r="F19">
        <v>59.63333333333334</v>
      </c>
      <c r="G19">
        <v>50.961111111111116</v>
      </c>
    </row>
    <row r="20" spans="1:7" x14ac:dyDescent="0.25">
      <c r="A20" s="2" t="s">
        <v>28</v>
      </c>
      <c r="B20">
        <v>0.94390221603656577</v>
      </c>
      <c r="C20">
        <v>55.636842105263156</v>
      </c>
      <c r="D20">
        <v>14.421052631578947</v>
      </c>
      <c r="E20">
        <v>80.28947368421052</v>
      </c>
      <c r="F20">
        <v>57.168421052631572</v>
      </c>
      <c r="G20">
        <v>54.994736842105269</v>
      </c>
    </row>
    <row r="21" spans="1:7" x14ac:dyDescent="0.25">
      <c r="A21" s="2" t="s">
        <v>129</v>
      </c>
      <c r="B21">
        <v>0.94742488714851336</v>
      </c>
      <c r="C21">
        <v>51.078947368421055</v>
      </c>
      <c r="D21">
        <v>15.368421052631579</v>
      </c>
      <c r="E21">
        <v>82.705263157894748</v>
      </c>
      <c r="F21">
        <v>60.300000000000004</v>
      </c>
      <c r="G21">
        <v>49.047368421052632</v>
      </c>
    </row>
    <row r="22" spans="1:7" x14ac:dyDescent="0.25">
      <c r="A22" s="2" t="s">
        <v>130</v>
      </c>
      <c r="B22">
        <v>0.94803136378513986</v>
      </c>
      <c r="C22">
        <v>58.61578947368421</v>
      </c>
      <c r="D22">
        <v>14.631578947368421</v>
      </c>
      <c r="E22">
        <v>83.305263157894743</v>
      </c>
      <c r="F22">
        <v>60.705263157894741</v>
      </c>
      <c r="G22">
        <v>51.410526315789475</v>
      </c>
    </row>
    <row r="23" spans="1:7" x14ac:dyDescent="0.25">
      <c r="A23" s="2" t="s">
        <v>173</v>
      </c>
      <c r="B23">
        <v>0.94078370148891732</v>
      </c>
      <c r="C23">
        <v>48.189473684210519</v>
      </c>
      <c r="D23">
        <v>15.052631578947368</v>
      </c>
      <c r="E23">
        <v>81.389473684210529</v>
      </c>
      <c r="F23">
        <v>61.357894736842113</v>
      </c>
      <c r="G23">
        <v>53.3</v>
      </c>
    </row>
    <row r="24" spans="1:7" x14ac:dyDescent="0.25">
      <c r="A24" s="2" t="s">
        <v>62</v>
      </c>
      <c r="B24">
        <v>0.94567642495892912</v>
      </c>
      <c r="C24">
        <v>50.52613333333332</v>
      </c>
      <c r="D24">
        <v>13.989333333333333</v>
      </c>
      <c r="E24">
        <v>79.903200000000041</v>
      </c>
      <c r="F24">
        <v>59.214666666666659</v>
      </c>
      <c r="G24">
        <v>50.678400000000003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1E066-9572-474C-B119-9F9FB1E03C90}">
  <sheetPr codeName="Sheet21"/>
  <dimension ref="A3:D28"/>
  <sheetViews>
    <sheetView tabSelected="1" workbookViewId="0">
      <selection activeCell="F8" sqref="F8"/>
    </sheetView>
  </sheetViews>
  <sheetFormatPr defaultRowHeight="15" x14ac:dyDescent="0.25"/>
  <cols>
    <col min="1" max="1" width="13.42578125" bestFit="1" customWidth="1"/>
    <col min="2" max="2" width="12.85546875" bestFit="1" customWidth="1"/>
    <col min="3" max="3" width="19.85546875" bestFit="1" customWidth="1"/>
    <col min="4" max="4" width="20.140625" bestFit="1" customWidth="1"/>
    <col min="5" max="6" width="24.42578125" bestFit="1" customWidth="1"/>
  </cols>
  <sheetData>
    <row r="3" spans="1:4" x14ac:dyDescent="0.25">
      <c r="A3" s="1" t="s">
        <v>61</v>
      </c>
      <c r="B3" t="s">
        <v>320</v>
      </c>
      <c r="C3" t="s">
        <v>321</v>
      </c>
      <c r="D3" t="s">
        <v>322</v>
      </c>
    </row>
    <row r="4" spans="1:4" x14ac:dyDescent="0.25">
      <c r="A4" s="21">
        <v>70</v>
      </c>
      <c r="B4" s="24">
        <v>51</v>
      </c>
      <c r="C4" s="24">
        <v>59.4</v>
      </c>
      <c r="D4" s="24">
        <v>72.650000000000006</v>
      </c>
    </row>
    <row r="5" spans="1:4" x14ac:dyDescent="0.25">
      <c r="A5" s="21">
        <v>72</v>
      </c>
      <c r="B5" s="24">
        <v>50.35</v>
      </c>
      <c r="C5" s="24">
        <v>70.2</v>
      </c>
      <c r="D5" s="24">
        <v>76.800000000000011</v>
      </c>
    </row>
    <row r="6" spans="1:4" x14ac:dyDescent="0.25">
      <c r="A6" s="21">
        <v>73</v>
      </c>
      <c r="B6" s="24">
        <v>43.233333333333327</v>
      </c>
      <c r="C6" s="24">
        <v>64.166666666666671</v>
      </c>
      <c r="D6" s="24">
        <v>77.95</v>
      </c>
    </row>
    <row r="7" spans="1:4" x14ac:dyDescent="0.25">
      <c r="A7" s="21">
        <v>74</v>
      </c>
      <c r="B7" s="24">
        <v>56.825000000000003</v>
      </c>
      <c r="C7" s="24">
        <v>54.8</v>
      </c>
      <c r="D7" s="24">
        <v>76.275000000000006</v>
      </c>
    </row>
    <row r="8" spans="1:4" x14ac:dyDescent="0.25">
      <c r="A8" s="21">
        <v>75</v>
      </c>
      <c r="B8" s="24">
        <v>47.233333333333327</v>
      </c>
      <c r="C8" s="24">
        <v>51.383333333333333</v>
      </c>
      <c r="D8" s="24">
        <v>77.5</v>
      </c>
    </row>
    <row r="9" spans="1:4" x14ac:dyDescent="0.25">
      <c r="A9" s="21">
        <v>76</v>
      </c>
      <c r="B9" s="24">
        <v>54.8</v>
      </c>
      <c r="C9" s="24">
        <v>63.6</v>
      </c>
      <c r="D9" s="24">
        <v>65.5</v>
      </c>
    </row>
    <row r="10" spans="1:4" x14ac:dyDescent="0.25">
      <c r="A10" s="21">
        <v>77</v>
      </c>
      <c r="B10" s="24">
        <v>30.7</v>
      </c>
      <c r="C10" s="24">
        <v>75.95</v>
      </c>
      <c r="D10" s="24">
        <v>76.199999999999989</v>
      </c>
    </row>
    <row r="11" spans="1:4" x14ac:dyDescent="0.25">
      <c r="A11" s="21">
        <v>79</v>
      </c>
      <c r="B11" s="24">
        <v>58.35</v>
      </c>
      <c r="C11" s="24">
        <v>54.15</v>
      </c>
      <c r="D11" s="24">
        <v>84.550000000000011</v>
      </c>
    </row>
    <row r="12" spans="1:4" x14ac:dyDescent="0.25">
      <c r="A12" s="21">
        <v>80</v>
      </c>
      <c r="B12" s="24">
        <v>40.9</v>
      </c>
      <c r="C12" s="24">
        <v>64.3</v>
      </c>
      <c r="D12" s="24">
        <v>84.4</v>
      </c>
    </row>
    <row r="13" spans="1:4" x14ac:dyDescent="0.25">
      <c r="A13" s="21">
        <v>82</v>
      </c>
      <c r="B13" s="24">
        <v>40.733333333333327</v>
      </c>
      <c r="C13" s="24">
        <v>49</v>
      </c>
      <c r="D13" s="24">
        <v>80.166666666666671</v>
      </c>
    </row>
    <row r="14" spans="1:4" x14ac:dyDescent="0.25">
      <c r="A14" s="21">
        <v>83</v>
      </c>
      <c r="B14" s="24">
        <v>49.644444444444446</v>
      </c>
      <c r="C14" s="24">
        <v>55.666666666666664</v>
      </c>
      <c r="D14" s="24">
        <v>80.711111111111094</v>
      </c>
    </row>
    <row r="15" spans="1:4" x14ac:dyDescent="0.25">
      <c r="A15" s="21">
        <v>85</v>
      </c>
      <c r="B15" s="24">
        <v>60.199999999999996</v>
      </c>
      <c r="C15" s="24">
        <v>54.9</v>
      </c>
      <c r="D15" s="24">
        <v>76.100000000000009</v>
      </c>
    </row>
    <row r="16" spans="1:4" x14ac:dyDescent="0.25">
      <c r="A16" s="21">
        <v>86</v>
      </c>
      <c r="B16" s="24">
        <v>51.558823529411768</v>
      </c>
      <c r="C16" s="24">
        <v>65.20588235294116</v>
      </c>
      <c r="D16" s="24">
        <v>82.805882352941168</v>
      </c>
    </row>
    <row r="17" spans="1:4" x14ac:dyDescent="0.25">
      <c r="A17" s="21">
        <v>88</v>
      </c>
      <c r="B17" s="24">
        <v>63.6</v>
      </c>
      <c r="C17" s="24">
        <v>56.3</v>
      </c>
      <c r="D17" s="24">
        <v>77.900000000000006</v>
      </c>
    </row>
    <row r="18" spans="1:4" x14ac:dyDescent="0.25">
      <c r="A18" s="21">
        <v>89</v>
      </c>
      <c r="B18" s="24">
        <v>50</v>
      </c>
      <c r="C18" s="24">
        <v>35.700000000000003</v>
      </c>
      <c r="D18" s="24">
        <v>72.400000000000006</v>
      </c>
    </row>
    <row r="19" spans="1:4" x14ac:dyDescent="0.25">
      <c r="A19" s="21">
        <v>91</v>
      </c>
      <c r="B19" s="24">
        <v>54.525000000000006</v>
      </c>
      <c r="C19" s="24">
        <v>58.679166666666674</v>
      </c>
      <c r="D19" s="24">
        <v>77.408333333333331</v>
      </c>
    </row>
    <row r="20" spans="1:4" x14ac:dyDescent="0.25">
      <c r="A20" s="21">
        <v>92</v>
      </c>
      <c r="B20" s="24">
        <v>49.954999999999998</v>
      </c>
      <c r="C20" s="24">
        <v>54.42</v>
      </c>
      <c r="D20" s="24">
        <v>73.77000000000001</v>
      </c>
    </row>
    <row r="21" spans="1:4" x14ac:dyDescent="0.25">
      <c r="A21" s="21">
        <v>93</v>
      </c>
      <c r="B21" s="24">
        <v>47.81111111111111</v>
      </c>
      <c r="C21" s="24">
        <v>54.477777777777781</v>
      </c>
      <c r="D21" s="24">
        <v>80.5</v>
      </c>
    </row>
    <row r="22" spans="1:4" x14ac:dyDescent="0.25">
      <c r="A22" s="21">
        <v>94</v>
      </c>
      <c r="B22" s="24">
        <v>47.695833333333333</v>
      </c>
      <c r="C22" s="24">
        <v>58.079166666666673</v>
      </c>
      <c r="D22" s="24">
        <v>77.816666666666677</v>
      </c>
    </row>
    <row r="23" spans="1:4" x14ac:dyDescent="0.25">
      <c r="A23" s="21">
        <v>95</v>
      </c>
      <c r="B23" s="24">
        <v>48.629629629629626</v>
      </c>
      <c r="C23" s="24">
        <v>58.981481481481481</v>
      </c>
      <c r="D23" s="24">
        <v>75.511111111111106</v>
      </c>
    </row>
    <row r="24" spans="1:4" x14ac:dyDescent="0.25">
      <c r="A24" s="21">
        <v>96</v>
      </c>
      <c r="B24" s="24">
        <v>48.95</v>
      </c>
      <c r="C24" s="24">
        <v>59.181249999999999</v>
      </c>
      <c r="D24" s="24">
        <v>70.224999999999994</v>
      </c>
    </row>
    <row r="25" spans="1:4" x14ac:dyDescent="0.25">
      <c r="A25" s="21">
        <v>97</v>
      </c>
      <c r="B25" s="24">
        <v>52.471428571428575</v>
      </c>
      <c r="C25" s="24">
        <v>58.06666666666667</v>
      </c>
      <c r="D25" s="24">
        <v>82.380952380952394</v>
      </c>
    </row>
    <row r="26" spans="1:4" x14ac:dyDescent="0.25">
      <c r="A26" s="21">
        <v>98</v>
      </c>
      <c r="B26" s="24">
        <v>51.300000000000018</v>
      </c>
      <c r="C26" s="24">
        <v>59.884745762711859</v>
      </c>
      <c r="D26" s="24">
        <v>83.391525423728794</v>
      </c>
    </row>
    <row r="27" spans="1:4" x14ac:dyDescent="0.25">
      <c r="A27" s="21">
        <v>99</v>
      </c>
      <c r="B27" s="24">
        <v>50.963157894736831</v>
      </c>
      <c r="C27" s="24">
        <v>60.71368421052631</v>
      </c>
      <c r="D27" s="24">
        <v>81.965263157894711</v>
      </c>
    </row>
    <row r="28" spans="1:4" x14ac:dyDescent="0.25">
      <c r="A28" s="21">
        <v>100</v>
      </c>
      <c r="B28" s="24">
        <v>52.927777777777777</v>
      </c>
      <c r="C28" s="24">
        <v>60.311111111111131</v>
      </c>
      <c r="D28" s="24">
        <v>84.672222222222217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F831F-33DB-42C0-87E7-EBEAB620EFBD}">
  <sheetPr codeName="Sheet22"/>
  <dimension ref="A1:AN376"/>
  <sheetViews>
    <sheetView topLeftCell="B1" workbookViewId="0">
      <selection activeCell="I33" sqref="I33"/>
    </sheetView>
  </sheetViews>
  <sheetFormatPr defaultRowHeight="15" x14ac:dyDescent="0.25"/>
  <cols>
    <col min="1" max="1" width="19.140625" bestFit="1" customWidth="1"/>
    <col min="2" max="2" width="19.140625" style="19" customWidth="1"/>
    <col min="3" max="3" width="26.140625" bestFit="1" customWidth="1"/>
    <col min="4" max="4" width="10.85546875" bestFit="1" customWidth="1"/>
    <col min="5" max="5" width="25.5703125" bestFit="1" customWidth="1"/>
    <col min="6" max="6" width="11.7109375" bestFit="1" customWidth="1"/>
    <col min="7" max="7" width="25.5703125" bestFit="1" customWidth="1"/>
    <col min="8" max="8" width="11.140625" bestFit="1" customWidth="1"/>
    <col min="9" max="9" width="18.28515625" bestFit="1" customWidth="1"/>
    <col min="10" max="10" width="17.85546875" bestFit="1" customWidth="1"/>
    <col min="11" max="11" width="11.7109375" bestFit="1" customWidth="1"/>
    <col min="12" max="12" width="11.28515625" bestFit="1" customWidth="1"/>
    <col min="13" max="13" width="14.7109375" bestFit="1" customWidth="1"/>
    <col min="14" max="14" width="14.28515625" bestFit="1" customWidth="1"/>
    <col min="15" max="15" width="14.7109375" bestFit="1" customWidth="1"/>
    <col min="16" max="16" width="14.28515625" bestFit="1" customWidth="1"/>
    <col min="17" max="17" width="14" bestFit="1" customWidth="1"/>
    <col min="18" max="18" width="13.5703125" bestFit="1" customWidth="1"/>
    <col min="19" max="19" width="11.140625" bestFit="1" customWidth="1"/>
    <col min="20" max="20" width="10.7109375" bestFit="1" customWidth="1"/>
    <col min="21" max="21" width="14.42578125" bestFit="1" customWidth="1"/>
    <col min="22" max="22" width="14" bestFit="1" customWidth="1"/>
    <col min="23" max="23" width="13.28515625" bestFit="1" customWidth="1"/>
    <col min="27" max="27" width="12.5703125" style="16" bestFit="1" customWidth="1"/>
    <col min="28" max="28" width="13.5703125" bestFit="1" customWidth="1"/>
    <col min="29" max="29" width="11.5703125" style="18" bestFit="1" customWidth="1"/>
    <col min="36" max="36" width="25.5703125" bestFit="1" customWidth="1"/>
  </cols>
  <sheetData>
    <row r="1" spans="1:40" x14ac:dyDescent="0.25">
      <c r="A1" t="s">
        <v>157</v>
      </c>
      <c r="B1" s="20" t="s">
        <v>318</v>
      </c>
      <c r="C1" t="s">
        <v>158</v>
      </c>
      <c r="D1" t="s">
        <v>159</v>
      </c>
      <c r="E1" t="s">
        <v>134</v>
      </c>
      <c r="F1" t="s">
        <v>160</v>
      </c>
      <c r="G1" t="s">
        <v>135</v>
      </c>
      <c r="H1" t="s">
        <v>136</v>
      </c>
      <c r="I1" t="s">
        <v>161</v>
      </c>
      <c r="J1" t="s">
        <v>162</v>
      </c>
      <c r="K1" t="s">
        <v>163</v>
      </c>
      <c r="L1" t="s">
        <v>164</v>
      </c>
      <c r="M1" t="s">
        <v>301</v>
      </c>
      <c r="N1" t="s">
        <v>300</v>
      </c>
      <c r="O1" t="s">
        <v>302</v>
      </c>
      <c r="P1" t="s">
        <v>303</v>
      </c>
      <c r="Q1" t="s">
        <v>165</v>
      </c>
      <c r="R1" t="s">
        <v>166</v>
      </c>
      <c r="S1" t="s">
        <v>167</v>
      </c>
      <c r="T1" t="s">
        <v>168</v>
      </c>
      <c r="U1" t="s">
        <v>169</v>
      </c>
      <c r="V1" t="s">
        <v>170</v>
      </c>
      <c r="W1" t="s">
        <v>307</v>
      </c>
      <c r="X1" t="s">
        <v>304</v>
      </c>
      <c r="Y1" t="s">
        <v>305</v>
      </c>
      <c r="Z1" t="s">
        <v>306</v>
      </c>
      <c r="AA1" s="16" t="s">
        <v>156</v>
      </c>
      <c r="AB1" t="s">
        <v>310</v>
      </c>
      <c r="AC1" s="18" t="s">
        <v>311</v>
      </c>
      <c r="AD1" t="s">
        <v>319</v>
      </c>
      <c r="AJ1" t="s">
        <v>20</v>
      </c>
      <c r="AK1" t="s">
        <v>137</v>
      </c>
      <c r="AL1">
        <v>60704</v>
      </c>
      <c r="AM1">
        <v>3000</v>
      </c>
      <c r="AN1">
        <f>AL1-AM1</f>
        <v>57704</v>
      </c>
    </row>
    <row r="2" spans="1:40" x14ac:dyDescent="0.25">
      <c r="A2" t="s">
        <v>299</v>
      </c>
      <c r="B2" s="20">
        <v>44778</v>
      </c>
      <c r="C2" t="s">
        <v>143</v>
      </c>
      <c r="D2" s="4">
        <v>25286</v>
      </c>
      <c r="E2" t="s">
        <v>29</v>
      </c>
      <c r="F2">
        <v>0</v>
      </c>
      <c r="G2" t="s">
        <v>20</v>
      </c>
      <c r="H2">
        <v>2</v>
      </c>
      <c r="I2">
        <v>56.3</v>
      </c>
      <c r="J2">
        <v>43.7</v>
      </c>
      <c r="K2">
        <v>10</v>
      </c>
      <c r="L2">
        <v>10</v>
      </c>
      <c r="M2">
        <v>2</v>
      </c>
      <c r="N2">
        <v>2</v>
      </c>
      <c r="O2">
        <v>2</v>
      </c>
      <c r="P2">
        <v>4</v>
      </c>
      <c r="Q2">
        <v>6</v>
      </c>
      <c r="R2">
        <v>4</v>
      </c>
      <c r="S2">
        <v>86.7</v>
      </c>
      <c r="T2">
        <v>82.2</v>
      </c>
      <c r="U2">
        <v>2</v>
      </c>
      <c r="V2">
        <v>1</v>
      </c>
      <c r="W2">
        <v>50</v>
      </c>
      <c r="X2">
        <v>55.2</v>
      </c>
      <c r="Y2">
        <v>41.7</v>
      </c>
      <c r="Z2">
        <v>58.3</v>
      </c>
      <c r="AA2" s="17">
        <f t="shared" ref="AA2:AA65" si="0">D2-3000</f>
        <v>22286</v>
      </c>
      <c r="AB2">
        <f t="shared" ref="AB2:AB65" si="1">VLOOKUP(E2,$AJ$1:$AN$23,5,FALSE)</f>
        <v>23486</v>
      </c>
      <c r="AC2" s="18">
        <f t="shared" ref="AC2:AC65" si="2">TRUNC(100*AA2/AB2,0)</f>
        <v>94</v>
      </c>
      <c r="AD2" s="22">
        <f t="shared" ref="AD2:AD65" si="3">AC2</f>
        <v>94</v>
      </c>
      <c r="AJ2" t="s">
        <v>12</v>
      </c>
      <c r="AK2" t="s">
        <v>138</v>
      </c>
      <c r="AL2">
        <v>42000</v>
      </c>
      <c r="AM2">
        <v>3000</v>
      </c>
      <c r="AN2">
        <f t="shared" ref="AN2:AN23" si="4">AL2-AM2</f>
        <v>39000</v>
      </c>
    </row>
    <row r="3" spans="1:40" x14ac:dyDescent="0.25">
      <c r="A3" t="s">
        <v>298</v>
      </c>
      <c r="B3" s="20">
        <v>44779</v>
      </c>
      <c r="C3" t="s">
        <v>188</v>
      </c>
      <c r="D3" s="4">
        <v>10000</v>
      </c>
      <c r="E3" t="s">
        <v>57</v>
      </c>
      <c r="F3">
        <v>2</v>
      </c>
      <c r="G3" t="s">
        <v>12</v>
      </c>
      <c r="H3">
        <v>0</v>
      </c>
      <c r="I3">
        <v>34.4</v>
      </c>
      <c r="J3">
        <v>65.599999999999994</v>
      </c>
      <c r="K3">
        <v>7</v>
      </c>
      <c r="L3">
        <v>15</v>
      </c>
      <c r="M3">
        <v>3</v>
      </c>
      <c r="N3">
        <v>2</v>
      </c>
      <c r="O3">
        <v>2</v>
      </c>
      <c r="P3">
        <v>7</v>
      </c>
      <c r="Q3">
        <v>2</v>
      </c>
      <c r="R3">
        <v>6</v>
      </c>
      <c r="S3">
        <v>70.099999999999994</v>
      </c>
      <c r="T3">
        <v>83.9</v>
      </c>
      <c r="U3">
        <v>1</v>
      </c>
      <c r="V3">
        <v>0</v>
      </c>
      <c r="W3">
        <v>60</v>
      </c>
      <c r="X3">
        <v>80</v>
      </c>
      <c r="Y3">
        <v>50</v>
      </c>
      <c r="Z3">
        <v>50</v>
      </c>
      <c r="AA3" s="17">
        <f t="shared" si="0"/>
        <v>7000</v>
      </c>
      <c r="AB3">
        <f t="shared" si="1"/>
        <v>9879</v>
      </c>
      <c r="AC3" s="18">
        <f t="shared" si="2"/>
        <v>70</v>
      </c>
      <c r="AD3" s="22">
        <f t="shared" si="3"/>
        <v>70</v>
      </c>
      <c r="AJ3" t="s">
        <v>57</v>
      </c>
      <c r="AK3" t="s">
        <v>139</v>
      </c>
      <c r="AL3">
        <v>11379</v>
      </c>
      <c r="AM3">
        <v>1500</v>
      </c>
      <c r="AN3">
        <f t="shared" si="4"/>
        <v>9879</v>
      </c>
    </row>
    <row r="4" spans="1:40" x14ac:dyDescent="0.25">
      <c r="A4" t="s">
        <v>298</v>
      </c>
      <c r="B4" s="20">
        <v>44779</v>
      </c>
      <c r="C4" t="s">
        <v>145</v>
      </c>
      <c r="D4" s="4">
        <v>25000</v>
      </c>
      <c r="E4" t="s">
        <v>44</v>
      </c>
      <c r="F4">
        <v>2</v>
      </c>
      <c r="G4" t="s">
        <v>17</v>
      </c>
      <c r="H4">
        <v>2</v>
      </c>
      <c r="I4">
        <v>33.1</v>
      </c>
      <c r="J4">
        <v>66.900000000000006</v>
      </c>
      <c r="K4">
        <v>9</v>
      </c>
      <c r="L4">
        <v>11</v>
      </c>
      <c r="M4">
        <v>3</v>
      </c>
      <c r="N4">
        <v>4</v>
      </c>
      <c r="O4">
        <v>2</v>
      </c>
      <c r="P4">
        <v>5</v>
      </c>
      <c r="Q4">
        <v>4</v>
      </c>
      <c r="R4">
        <v>2</v>
      </c>
      <c r="S4">
        <v>61.6</v>
      </c>
      <c r="T4">
        <v>77.3</v>
      </c>
      <c r="U4">
        <v>0</v>
      </c>
      <c r="V4">
        <v>3</v>
      </c>
      <c r="W4">
        <v>52</v>
      </c>
      <c r="X4">
        <v>81.8</v>
      </c>
      <c r="Y4">
        <v>63.9</v>
      </c>
      <c r="Z4">
        <v>36.1</v>
      </c>
      <c r="AA4" s="17">
        <f t="shared" si="0"/>
        <v>22000</v>
      </c>
      <c r="AB4">
        <f t="shared" si="1"/>
        <v>25700</v>
      </c>
      <c r="AC4" s="18">
        <f t="shared" si="2"/>
        <v>85</v>
      </c>
      <c r="AD4" s="22">
        <f t="shared" si="3"/>
        <v>85</v>
      </c>
      <c r="AJ4" t="s">
        <v>60</v>
      </c>
      <c r="AK4" t="s">
        <v>140</v>
      </c>
      <c r="AL4">
        <v>17250</v>
      </c>
      <c r="AM4">
        <v>2000</v>
      </c>
      <c r="AN4">
        <f t="shared" si="4"/>
        <v>15250</v>
      </c>
    </row>
    <row r="5" spans="1:40" x14ac:dyDescent="0.25">
      <c r="A5" t="s">
        <v>298</v>
      </c>
      <c r="B5" s="20">
        <v>44779</v>
      </c>
      <c r="C5" t="s">
        <v>175</v>
      </c>
      <c r="D5" s="4">
        <v>36347</v>
      </c>
      <c r="E5" t="s">
        <v>27</v>
      </c>
      <c r="F5">
        <v>2</v>
      </c>
      <c r="G5" t="s">
        <v>173</v>
      </c>
      <c r="H5">
        <v>1</v>
      </c>
      <c r="I5">
        <v>40.1</v>
      </c>
      <c r="J5">
        <v>59.9</v>
      </c>
      <c r="K5">
        <v>12</v>
      </c>
      <c r="L5">
        <v>15</v>
      </c>
      <c r="M5">
        <v>4</v>
      </c>
      <c r="N5">
        <v>6</v>
      </c>
      <c r="O5">
        <v>5</v>
      </c>
      <c r="P5">
        <v>6</v>
      </c>
      <c r="Q5">
        <v>3</v>
      </c>
      <c r="R5">
        <v>3</v>
      </c>
      <c r="S5">
        <v>75.8</v>
      </c>
      <c r="T5">
        <v>84.8</v>
      </c>
      <c r="U5">
        <v>2</v>
      </c>
      <c r="V5">
        <v>1</v>
      </c>
      <c r="W5">
        <v>66.7</v>
      </c>
      <c r="X5">
        <v>68.8</v>
      </c>
      <c r="Y5">
        <v>56.3</v>
      </c>
      <c r="Z5">
        <v>43.8</v>
      </c>
      <c r="AA5" s="17">
        <f t="shared" si="0"/>
        <v>33347</v>
      </c>
      <c r="AB5">
        <f t="shared" si="1"/>
        <v>35220</v>
      </c>
      <c r="AC5" s="18">
        <f t="shared" si="2"/>
        <v>94</v>
      </c>
      <c r="AD5" s="22">
        <f t="shared" si="3"/>
        <v>94</v>
      </c>
      <c r="AJ5" t="s">
        <v>308</v>
      </c>
      <c r="AK5" t="s">
        <v>141</v>
      </c>
      <c r="AL5">
        <v>31876</v>
      </c>
      <c r="AM5">
        <v>3000</v>
      </c>
      <c r="AN5">
        <f t="shared" si="4"/>
        <v>28876</v>
      </c>
    </row>
    <row r="6" spans="1:40" x14ac:dyDescent="0.25">
      <c r="A6" t="s">
        <v>298</v>
      </c>
      <c r="B6" s="20">
        <v>44779</v>
      </c>
      <c r="C6" t="s">
        <v>187</v>
      </c>
      <c r="D6" s="4">
        <v>61732</v>
      </c>
      <c r="E6" t="s">
        <v>129</v>
      </c>
      <c r="F6">
        <v>4</v>
      </c>
      <c r="G6" t="s">
        <v>28</v>
      </c>
      <c r="H6">
        <v>1</v>
      </c>
      <c r="I6">
        <v>57.5</v>
      </c>
      <c r="J6">
        <v>42.5</v>
      </c>
      <c r="K6">
        <v>18</v>
      </c>
      <c r="L6">
        <v>10</v>
      </c>
      <c r="M6">
        <v>8</v>
      </c>
      <c r="N6">
        <v>2</v>
      </c>
      <c r="O6">
        <v>6</v>
      </c>
      <c r="P6">
        <v>5</v>
      </c>
      <c r="Q6">
        <v>4</v>
      </c>
      <c r="R6">
        <v>3</v>
      </c>
      <c r="S6">
        <v>85</v>
      </c>
      <c r="T6">
        <v>82.2</v>
      </c>
      <c r="U6">
        <v>1</v>
      </c>
      <c r="V6">
        <v>0</v>
      </c>
      <c r="W6">
        <v>62.5</v>
      </c>
      <c r="X6">
        <v>42.9</v>
      </c>
      <c r="Y6">
        <v>54.2</v>
      </c>
      <c r="Z6">
        <v>45.8</v>
      </c>
      <c r="AA6" s="17">
        <f t="shared" si="0"/>
        <v>58732</v>
      </c>
      <c r="AB6">
        <f t="shared" si="1"/>
        <v>59850</v>
      </c>
      <c r="AC6" s="18">
        <f t="shared" si="2"/>
        <v>98</v>
      </c>
      <c r="AD6" s="22">
        <f t="shared" si="3"/>
        <v>98</v>
      </c>
      <c r="AJ6" t="s">
        <v>53</v>
      </c>
      <c r="AK6" t="s">
        <v>153</v>
      </c>
      <c r="AL6">
        <v>21944</v>
      </c>
      <c r="AM6">
        <v>2500</v>
      </c>
      <c r="AN6">
        <f t="shared" si="4"/>
        <v>19444</v>
      </c>
    </row>
    <row r="7" spans="1:40" x14ac:dyDescent="0.25">
      <c r="A7" t="s">
        <v>298</v>
      </c>
      <c r="B7" s="20">
        <v>44779</v>
      </c>
      <c r="C7" t="s">
        <v>182</v>
      </c>
      <c r="D7" s="4">
        <v>52245</v>
      </c>
      <c r="E7" t="s">
        <v>128</v>
      </c>
      <c r="F7">
        <v>2</v>
      </c>
      <c r="G7" t="s">
        <v>123</v>
      </c>
      <c r="H7">
        <v>0</v>
      </c>
      <c r="I7">
        <v>61.4</v>
      </c>
      <c r="J7">
        <v>38.6</v>
      </c>
      <c r="K7">
        <v>23</v>
      </c>
      <c r="L7">
        <v>5</v>
      </c>
      <c r="M7">
        <v>10</v>
      </c>
      <c r="N7">
        <v>0</v>
      </c>
      <c r="O7">
        <v>8</v>
      </c>
      <c r="P7">
        <v>3</v>
      </c>
      <c r="Q7">
        <v>5</v>
      </c>
      <c r="R7">
        <v>2</v>
      </c>
      <c r="S7">
        <v>80.8</v>
      </c>
      <c r="T7">
        <v>70.400000000000006</v>
      </c>
      <c r="U7">
        <v>2</v>
      </c>
      <c r="V7">
        <v>0</v>
      </c>
      <c r="W7">
        <v>68.400000000000006</v>
      </c>
      <c r="X7">
        <v>73.3</v>
      </c>
      <c r="Y7">
        <v>42.9</v>
      </c>
      <c r="Z7">
        <v>57.1</v>
      </c>
      <c r="AA7" s="17">
        <f t="shared" si="0"/>
        <v>49245</v>
      </c>
      <c r="AB7">
        <f t="shared" si="1"/>
        <v>49350</v>
      </c>
      <c r="AC7" s="18">
        <f t="shared" si="2"/>
        <v>99</v>
      </c>
      <c r="AD7" s="22">
        <f t="shared" si="3"/>
        <v>99</v>
      </c>
      <c r="AJ7" t="s">
        <v>21</v>
      </c>
      <c r="AK7" t="s">
        <v>142</v>
      </c>
      <c r="AL7">
        <v>40343</v>
      </c>
      <c r="AM7">
        <v>3000</v>
      </c>
      <c r="AN7">
        <f t="shared" si="4"/>
        <v>37343</v>
      </c>
    </row>
    <row r="8" spans="1:40" x14ac:dyDescent="0.25">
      <c r="A8" t="s">
        <v>298</v>
      </c>
      <c r="B8" s="20">
        <v>44779</v>
      </c>
      <c r="C8" t="s">
        <v>144</v>
      </c>
      <c r="D8" s="4">
        <v>39254</v>
      </c>
      <c r="E8" t="s">
        <v>23</v>
      </c>
      <c r="F8">
        <v>0</v>
      </c>
      <c r="G8" t="s">
        <v>21</v>
      </c>
      <c r="H8">
        <v>1</v>
      </c>
      <c r="I8">
        <v>37.299999999999997</v>
      </c>
      <c r="J8">
        <v>62.7</v>
      </c>
      <c r="K8">
        <v>8</v>
      </c>
      <c r="L8">
        <v>15</v>
      </c>
      <c r="M8">
        <v>4</v>
      </c>
      <c r="N8">
        <v>6</v>
      </c>
      <c r="O8">
        <v>3</v>
      </c>
      <c r="P8">
        <v>3</v>
      </c>
      <c r="Q8">
        <v>1</v>
      </c>
      <c r="R8">
        <v>6</v>
      </c>
      <c r="S8">
        <v>73.400000000000006</v>
      </c>
      <c r="T8">
        <v>86.6</v>
      </c>
      <c r="U8">
        <v>0</v>
      </c>
      <c r="V8">
        <v>1</v>
      </c>
      <c r="W8">
        <v>70.8</v>
      </c>
      <c r="X8">
        <v>47.4</v>
      </c>
      <c r="Y8">
        <v>35.299999999999997</v>
      </c>
      <c r="Z8">
        <v>64.7</v>
      </c>
      <c r="AA8" s="17">
        <f t="shared" si="0"/>
        <v>36254</v>
      </c>
      <c r="AB8">
        <f t="shared" si="1"/>
        <v>36572</v>
      </c>
      <c r="AC8" s="18">
        <f t="shared" si="2"/>
        <v>99</v>
      </c>
      <c r="AD8" s="22">
        <f t="shared" si="3"/>
        <v>99</v>
      </c>
      <c r="AJ8" t="s">
        <v>29</v>
      </c>
      <c r="AK8" t="s">
        <v>143</v>
      </c>
      <c r="AL8">
        <v>25486</v>
      </c>
      <c r="AM8">
        <v>2000</v>
      </c>
      <c r="AN8">
        <f t="shared" si="4"/>
        <v>23486</v>
      </c>
    </row>
    <row r="9" spans="1:40" x14ac:dyDescent="0.25">
      <c r="A9" t="s">
        <v>297</v>
      </c>
      <c r="B9" s="20">
        <v>44780</v>
      </c>
      <c r="C9" t="s">
        <v>184</v>
      </c>
      <c r="D9" s="4">
        <v>62443</v>
      </c>
      <c r="E9" t="s">
        <v>130</v>
      </c>
      <c r="F9">
        <v>0</v>
      </c>
      <c r="G9" t="s">
        <v>19</v>
      </c>
      <c r="H9">
        <v>2</v>
      </c>
      <c r="I9">
        <v>24.6</v>
      </c>
      <c r="J9">
        <v>75.400000000000006</v>
      </c>
      <c r="K9">
        <v>6</v>
      </c>
      <c r="L9">
        <v>14</v>
      </c>
      <c r="M9">
        <v>1</v>
      </c>
      <c r="N9">
        <v>2</v>
      </c>
      <c r="O9">
        <v>2</v>
      </c>
      <c r="P9">
        <v>8</v>
      </c>
      <c r="Q9">
        <v>3</v>
      </c>
      <c r="R9">
        <v>4</v>
      </c>
      <c r="S9">
        <v>78.3</v>
      </c>
      <c r="T9">
        <v>92.9</v>
      </c>
      <c r="U9">
        <v>0</v>
      </c>
      <c r="V9">
        <v>3</v>
      </c>
      <c r="W9">
        <v>42.9</v>
      </c>
      <c r="X9">
        <v>66.7</v>
      </c>
      <c r="Y9">
        <v>47.6</v>
      </c>
      <c r="Z9">
        <v>52.4</v>
      </c>
      <c r="AA9" s="17">
        <f t="shared" si="0"/>
        <v>59443</v>
      </c>
      <c r="AB9">
        <f t="shared" si="1"/>
        <v>65013</v>
      </c>
      <c r="AC9" s="18">
        <f t="shared" si="2"/>
        <v>91</v>
      </c>
      <c r="AD9" s="22">
        <f t="shared" si="3"/>
        <v>91</v>
      </c>
      <c r="AJ9" t="s">
        <v>23</v>
      </c>
      <c r="AK9" t="s">
        <v>144</v>
      </c>
      <c r="AL9">
        <v>39572</v>
      </c>
      <c r="AM9">
        <v>3000</v>
      </c>
      <c r="AN9">
        <f t="shared" si="4"/>
        <v>36572</v>
      </c>
    </row>
    <row r="10" spans="1:40" x14ac:dyDescent="0.25">
      <c r="A10" t="s">
        <v>297</v>
      </c>
      <c r="B10" s="20">
        <v>44780</v>
      </c>
      <c r="C10" t="s">
        <v>176</v>
      </c>
      <c r="D10" s="4">
        <v>31794</v>
      </c>
      <c r="E10" t="s">
        <v>36</v>
      </c>
      <c r="F10">
        <v>2</v>
      </c>
      <c r="G10" t="s">
        <v>60</v>
      </c>
      <c r="H10">
        <v>2</v>
      </c>
      <c r="I10">
        <v>55.4</v>
      </c>
      <c r="J10">
        <v>44.6</v>
      </c>
      <c r="K10">
        <v>14</v>
      </c>
      <c r="L10">
        <v>8</v>
      </c>
      <c r="M10">
        <v>5</v>
      </c>
      <c r="N10">
        <v>3</v>
      </c>
      <c r="O10">
        <v>6</v>
      </c>
      <c r="P10">
        <v>4</v>
      </c>
      <c r="Q10">
        <v>3</v>
      </c>
      <c r="R10">
        <v>1</v>
      </c>
      <c r="S10">
        <v>87.9</v>
      </c>
      <c r="T10">
        <v>84.5</v>
      </c>
      <c r="U10">
        <v>0</v>
      </c>
      <c r="V10">
        <v>2</v>
      </c>
      <c r="W10">
        <v>69.2</v>
      </c>
      <c r="X10">
        <v>60</v>
      </c>
      <c r="Y10">
        <v>48.3</v>
      </c>
      <c r="Z10">
        <v>51.7</v>
      </c>
      <c r="AA10" s="17">
        <f t="shared" si="0"/>
        <v>28794</v>
      </c>
      <c r="AB10">
        <f t="shared" si="1"/>
        <v>29261</v>
      </c>
      <c r="AC10" s="18">
        <f t="shared" si="2"/>
        <v>98</v>
      </c>
      <c r="AD10" s="22">
        <f t="shared" si="3"/>
        <v>98</v>
      </c>
      <c r="AJ10" t="s">
        <v>44</v>
      </c>
      <c r="AK10" t="s">
        <v>145</v>
      </c>
      <c r="AL10">
        <v>28500</v>
      </c>
      <c r="AM10">
        <v>2800</v>
      </c>
      <c r="AN10">
        <f>AL10-AM10</f>
        <v>25700</v>
      </c>
    </row>
    <row r="11" spans="1:40" x14ac:dyDescent="0.25">
      <c r="A11" t="s">
        <v>297</v>
      </c>
      <c r="B11" s="20">
        <v>44780</v>
      </c>
      <c r="C11" t="s">
        <v>148</v>
      </c>
      <c r="D11" s="4">
        <v>73711</v>
      </c>
      <c r="E11" t="s">
        <v>127</v>
      </c>
      <c r="F11">
        <v>1</v>
      </c>
      <c r="G11" t="s">
        <v>126</v>
      </c>
      <c r="H11">
        <v>2</v>
      </c>
      <c r="I11">
        <v>62.9</v>
      </c>
      <c r="J11">
        <v>37.1</v>
      </c>
      <c r="K11">
        <v>17</v>
      </c>
      <c r="L11">
        <v>15</v>
      </c>
      <c r="M11">
        <v>5</v>
      </c>
      <c r="N11">
        <v>4</v>
      </c>
      <c r="O11">
        <v>5</v>
      </c>
      <c r="P11">
        <v>6</v>
      </c>
      <c r="Q11">
        <v>7</v>
      </c>
      <c r="R11">
        <v>5</v>
      </c>
      <c r="S11">
        <v>82.5</v>
      </c>
      <c r="T11">
        <v>70.2</v>
      </c>
      <c r="U11">
        <v>1</v>
      </c>
      <c r="V11">
        <v>1</v>
      </c>
      <c r="W11">
        <v>66.7</v>
      </c>
      <c r="X11">
        <v>64.3</v>
      </c>
      <c r="Y11">
        <v>55</v>
      </c>
      <c r="Z11">
        <v>45</v>
      </c>
      <c r="AA11" s="17">
        <f t="shared" si="0"/>
        <v>70711</v>
      </c>
      <c r="AB11">
        <f t="shared" si="1"/>
        <v>71310</v>
      </c>
      <c r="AC11" s="18">
        <f t="shared" si="2"/>
        <v>99</v>
      </c>
      <c r="AD11" s="22">
        <f t="shared" si="3"/>
        <v>99</v>
      </c>
      <c r="AJ11" t="s">
        <v>17</v>
      </c>
      <c r="AK11" t="s">
        <v>146</v>
      </c>
      <c r="AL11">
        <v>61000</v>
      </c>
      <c r="AM11">
        <v>3000</v>
      </c>
      <c r="AN11">
        <f t="shared" si="4"/>
        <v>58000</v>
      </c>
    </row>
    <row r="12" spans="1:40" x14ac:dyDescent="0.25">
      <c r="A12" t="s">
        <v>296</v>
      </c>
      <c r="B12" s="20">
        <v>44786</v>
      </c>
      <c r="C12" t="s">
        <v>174</v>
      </c>
      <c r="D12" s="4">
        <v>17051</v>
      </c>
      <c r="E12" t="s">
        <v>60</v>
      </c>
      <c r="F12">
        <v>4</v>
      </c>
      <c r="G12" t="s">
        <v>127</v>
      </c>
      <c r="H12">
        <v>0</v>
      </c>
      <c r="I12">
        <v>33.299999999999997</v>
      </c>
      <c r="J12">
        <v>66.7</v>
      </c>
      <c r="K12">
        <v>13</v>
      </c>
      <c r="L12">
        <v>15</v>
      </c>
      <c r="M12">
        <v>7</v>
      </c>
      <c r="N12">
        <v>4</v>
      </c>
      <c r="O12">
        <v>3</v>
      </c>
      <c r="P12">
        <v>7</v>
      </c>
      <c r="Q12">
        <v>3</v>
      </c>
      <c r="R12">
        <v>4</v>
      </c>
      <c r="S12">
        <v>65.5</v>
      </c>
      <c r="T12">
        <v>84.6</v>
      </c>
      <c r="U12">
        <v>2</v>
      </c>
      <c r="V12">
        <v>0</v>
      </c>
      <c r="W12">
        <v>66.7</v>
      </c>
      <c r="X12">
        <v>58.3</v>
      </c>
      <c r="Y12">
        <v>41.7</v>
      </c>
      <c r="Z12">
        <v>58.3</v>
      </c>
      <c r="AA12" s="17">
        <f t="shared" si="0"/>
        <v>14051</v>
      </c>
      <c r="AB12">
        <f t="shared" si="1"/>
        <v>15250</v>
      </c>
      <c r="AC12" s="18">
        <f t="shared" si="2"/>
        <v>92</v>
      </c>
      <c r="AD12" s="22">
        <f t="shared" si="3"/>
        <v>92</v>
      </c>
      <c r="AJ12" t="s">
        <v>132</v>
      </c>
      <c r="AK12" t="s">
        <v>154</v>
      </c>
      <c r="AL12">
        <v>12000</v>
      </c>
      <c r="AM12">
        <v>1000</v>
      </c>
      <c r="AN12">
        <f t="shared" si="4"/>
        <v>11000</v>
      </c>
    </row>
    <row r="13" spans="1:40" x14ac:dyDescent="0.25">
      <c r="A13" t="s">
        <v>296</v>
      </c>
      <c r="B13" s="20">
        <v>44786</v>
      </c>
      <c r="C13" t="s">
        <v>177</v>
      </c>
      <c r="D13" s="4">
        <v>30815</v>
      </c>
      <c r="E13" t="s">
        <v>28</v>
      </c>
      <c r="F13">
        <v>2</v>
      </c>
      <c r="G13" t="s">
        <v>27</v>
      </c>
      <c r="H13">
        <v>2</v>
      </c>
      <c r="I13">
        <v>42.6</v>
      </c>
      <c r="J13">
        <v>57.4</v>
      </c>
      <c r="K13">
        <v>14</v>
      </c>
      <c r="L13">
        <v>13</v>
      </c>
      <c r="M13">
        <v>4</v>
      </c>
      <c r="N13">
        <v>5</v>
      </c>
      <c r="O13">
        <v>7</v>
      </c>
      <c r="P13">
        <v>4</v>
      </c>
      <c r="Q13">
        <v>3</v>
      </c>
      <c r="R13">
        <v>4</v>
      </c>
      <c r="S13">
        <v>69.900000000000006</v>
      </c>
      <c r="T13">
        <v>74</v>
      </c>
      <c r="U13">
        <v>2</v>
      </c>
      <c r="V13">
        <v>3</v>
      </c>
      <c r="W13">
        <v>52.9</v>
      </c>
      <c r="X13">
        <v>74.099999999999994</v>
      </c>
      <c r="Y13">
        <v>42.5</v>
      </c>
      <c r="Z13">
        <v>57.5</v>
      </c>
      <c r="AA13" s="17">
        <f t="shared" si="0"/>
        <v>27815</v>
      </c>
      <c r="AB13">
        <f t="shared" si="1"/>
        <v>29384</v>
      </c>
      <c r="AC13" s="18">
        <f t="shared" si="2"/>
        <v>94</v>
      </c>
      <c r="AD13" s="22">
        <f t="shared" si="3"/>
        <v>94</v>
      </c>
      <c r="AJ13" t="s">
        <v>127</v>
      </c>
      <c r="AK13" t="s">
        <v>148</v>
      </c>
      <c r="AL13">
        <v>74310</v>
      </c>
      <c r="AM13">
        <v>3000</v>
      </c>
      <c r="AN13">
        <f t="shared" si="4"/>
        <v>71310</v>
      </c>
    </row>
    <row r="14" spans="1:40" x14ac:dyDescent="0.25">
      <c r="A14" t="s">
        <v>296</v>
      </c>
      <c r="B14" s="20">
        <v>44786</v>
      </c>
      <c r="C14" t="s">
        <v>152</v>
      </c>
      <c r="D14" s="4">
        <v>31178</v>
      </c>
      <c r="E14" t="s">
        <v>173</v>
      </c>
      <c r="F14">
        <v>0</v>
      </c>
      <c r="G14" t="s">
        <v>44</v>
      </c>
      <c r="H14">
        <v>0</v>
      </c>
      <c r="I14">
        <v>59.6</v>
      </c>
      <c r="J14">
        <v>40.4</v>
      </c>
      <c r="K14">
        <v>7</v>
      </c>
      <c r="L14">
        <v>9</v>
      </c>
      <c r="M14">
        <v>1</v>
      </c>
      <c r="N14">
        <v>3</v>
      </c>
      <c r="O14">
        <v>5</v>
      </c>
      <c r="P14">
        <v>5</v>
      </c>
      <c r="Q14">
        <v>1</v>
      </c>
      <c r="R14">
        <v>1</v>
      </c>
      <c r="S14">
        <v>79</v>
      </c>
      <c r="T14">
        <v>71.599999999999994</v>
      </c>
      <c r="U14">
        <v>2</v>
      </c>
      <c r="V14">
        <v>1</v>
      </c>
      <c r="W14">
        <v>61.1</v>
      </c>
      <c r="X14">
        <v>42.1</v>
      </c>
      <c r="Y14">
        <v>53.6</v>
      </c>
      <c r="Z14">
        <v>46.4</v>
      </c>
      <c r="AA14" s="17">
        <f t="shared" si="0"/>
        <v>28178</v>
      </c>
      <c r="AB14">
        <f t="shared" si="1"/>
        <v>29050</v>
      </c>
      <c r="AC14" s="18">
        <f t="shared" si="2"/>
        <v>96</v>
      </c>
      <c r="AD14" s="22">
        <f t="shared" si="3"/>
        <v>96</v>
      </c>
      <c r="AJ14" t="s">
        <v>19</v>
      </c>
      <c r="AK14" t="s">
        <v>147</v>
      </c>
      <c r="AL14">
        <v>53400</v>
      </c>
      <c r="AM14">
        <v>3000</v>
      </c>
      <c r="AN14">
        <f t="shared" si="4"/>
        <v>50400</v>
      </c>
    </row>
    <row r="15" spans="1:40" x14ac:dyDescent="0.25">
      <c r="A15" t="s">
        <v>296</v>
      </c>
      <c r="B15" s="20">
        <v>44786</v>
      </c>
      <c r="C15" t="s">
        <v>172</v>
      </c>
      <c r="D15" s="4">
        <v>60033</v>
      </c>
      <c r="E15" t="s">
        <v>20</v>
      </c>
      <c r="F15">
        <v>4</v>
      </c>
      <c r="G15" t="s">
        <v>36</v>
      </c>
      <c r="H15">
        <v>2</v>
      </c>
      <c r="I15">
        <v>49.9</v>
      </c>
      <c r="J15">
        <v>50.1</v>
      </c>
      <c r="K15">
        <v>19</v>
      </c>
      <c r="L15">
        <v>6</v>
      </c>
      <c r="M15">
        <v>7</v>
      </c>
      <c r="N15">
        <v>2</v>
      </c>
      <c r="O15">
        <v>8</v>
      </c>
      <c r="P15">
        <v>3</v>
      </c>
      <c r="Q15">
        <v>4</v>
      </c>
      <c r="R15">
        <v>1</v>
      </c>
      <c r="S15">
        <v>83.5</v>
      </c>
      <c r="T15">
        <v>81.099999999999994</v>
      </c>
      <c r="U15">
        <v>3</v>
      </c>
      <c r="V15">
        <v>1</v>
      </c>
      <c r="W15">
        <v>75</v>
      </c>
      <c r="X15">
        <v>58.3</v>
      </c>
      <c r="Y15">
        <v>57.6</v>
      </c>
      <c r="Z15">
        <v>42.4</v>
      </c>
      <c r="AA15" s="17">
        <f t="shared" si="0"/>
        <v>57033</v>
      </c>
      <c r="AB15">
        <f t="shared" si="1"/>
        <v>57704</v>
      </c>
      <c r="AC15" s="18">
        <f t="shared" si="2"/>
        <v>98</v>
      </c>
      <c r="AD15" s="22">
        <f t="shared" si="3"/>
        <v>98</v>
      </c>
      <c r="AJ15" t="s">
        <v>128</v>
      </c>
      <c r="AK15" t="s">
        <v>149</v>
      </c>
      <c r="AL15">
        <v>52350</v>
      </c>
      <c r="AM15">
        <v>3000</v>
      </c>
      <c r="AN15">
        <f t="shared" si="4"/>
        <v>49350</v>
      </c>
    </row>
    <row r="16" spans="1:40" x14ac:dyDescent="0.25">
      <c r="A16" t="s">
        <v>296</v>
      </c>
      <c r="B16" s="20">
        <v>44786</v>
      </c>
      <c r="C16" t="s">
        <v>180</v>
      </c>
      <c r="D16" s="4">
        <v>31552</v>
      </c>
      <c r="E16" t="s">
        <v>126</v>
      </c>
      <c r="F16">
        <v>0</v>
      </c>
      <c r="G16" t="s">
        <v>128</v>
      </c>
      <c r="H16">
        <v>0</v>
      </c>
      <c r="I16">
        <v>54.5</v>
      </c>
      <c r="J16">
        <v>45.5</v>
      </c>
      <c r="K16">
        <v>13</v>
      </c>
      <c r="L16">
        <v>4</v>
      </c>
      <c r="M16">
        <v>7</v>
      </c>
      <c r="N16">
        <v>1</v>
      </c>
      <c r="O16">
        <v>3</v>
      </c>
      <c r="P16">
        <v>2</v>
      </c>
      <c r="Q16">
        <v>3</v>
      </c>
      <c r="R16">
        <v>1</v>
      </c>
      <c r="S16">
        <v>76.5</v>
      </c>
      <c r="T16">
        <v>73.2</v>
      </c>
      <c r="U16">
        <v>3</v>
      </c>
      <c r="V16">
        <v>0</v>
      </c>
      <c r="W16">
        <v>77.8</v>
      </c>
      <c r="X16">
        <v>58.3</v>
      </c>
      <c r="Y16">
        <v>52.9</v>
      </c>
      <c r="Z16">
        <v>47.1</v>
      </c>
      <c r="AA16" s="17">
        <f t="shared" si="0"/>
        <v>28552</v>
      </c>
      <c r="AB16">
        <f t="shared" si="1"/>
        <v>28876</v>
      </c>
      <c r="AC16" s="18">
        <f t="shared" si="2"/>
        <v>98</v>
      </c>
      <c r="AD16" s="22">
        <f t="shared" si="3"/>
        <v>98</v>
      </c>
      <c r="AJ16" t="s">
        <v>123</v>
      </c>
      <c r="AK16" t="s">
        <v>150</v>
      </c>
      <c r="AL16">
        <v>30445</v>
      </c>
      <c r="AM16">
        <v>3000</v>
      </c>
      <c r="AN16">
        <f t="shared" si="4"/>
        <v>27445</v>
      </c>
    </row>
    <row r="17" spans="1:40" x14ac:dyDescent="0.25">
      <c r="A17" t="s">
        <v>296</v>
      </c>
      <c r="B17" s="20">
        <v>44786</v>
      </c>
      <c r="C17" t="s">
        <v>138</v>
      </c>
      <c r="D17" s="4">
        <v>41883</v>
      </c>
      <c r="E17" t="s">
        <v>12</v>
      </c>
      <c r="F17">
        <v>2</v>
      </c>
      <c r="G17" t="s">
        <v>23</v>
      </c>
      <c r="H17">
        <v>1</v>
      </c>
      <c r="I17">
        <v>57.5</v>
      </c>
      <c r="J17">
        <v>42.5</v>
      </c>
      <c r="K17">
        <v>12</v>
      </c>
      <c r="L17">
        <v>15</v>
      </c>
      <c r="M17">
        <v>4</v>
      </c>
      <c r="N17">
        <v>4</v>
      </c>
      <c r="O17">
        <v>4</v>
      </c>
      <c r="P17">
        <v>2</v>
      </c>
      <c r="Q17">
        <v>4</v>
      </c>
      <c r="R17">
        <v>9</v>
      </c>
      <c r="S17">
        <v>84.1</v>
      </c>
      <c r="T17">
        <v>77</v>
      </c>
      <c r="U17">
        <v>3</v>
      </c>
      <c r="V17">
        <v>0</v>
      </c>
      <c r="W17">
        <v>60</v>
      </c>
      <c r="X17">
        <v>68.8</v>
      </c>
      <c r="Y17">
        <v>53.8</v>
      </c>
      <c r="Z17">
        <v>46.2</v>
      </c>
      <c r="AA17" s="17">
        <f t="shared" si="0"/>
        <v>38883</v>
      </c>
      <c r="AB17">
        <f t="shared" si="1"/>
        <v>39000</v>
      </c>
      <c r="AC17" s="18">
        <f t="shared" si="2"/>
        <v>99</v>
      </c>
      <c r="AD17" s="22">
        <f t="shared" si="3"/>
        <v>99</v>
      </c>
      <c r="AJ17" t="s">
        <v>131</v>
      </c>
      <c r="AK17" t="s">
        <v>155</v>
      </c>
      <c r="AL17">
        <v>32050</v>
      </c>
      <c r="AM17">
        <v>3000</v>
      </c>
      <c r="AN17">
        <f t="shared" si="4"/>
        <v>29050</v>
      </c>
    </row>
    <row r="18" spans="1:40" x14ac:dyDescent="0.25">
      <c r="A18" t="s">
        <v>296</v>
      </c>
      <c r="B18" s="20">
        <v>44786</v>
      </c>
      <c r="C18" t="s">
        <v>185</v>
      </c>
      <c r="D18" s="4">
        <v>53453</v>
      </c>
      <c r="E18" t="s">
        <v>19</v>
      </c>
      <c r="F18">
        <v>4</v>
      </c>
      <c r="G18" t="s">
        <v>57</v>
      </c>
      <c r="H18">
        <v>0</v>
      </c>
      <c r="I18">
        <v>66.7</v>
      </c>
      <c r="J18">
        <v>33.299999999999997</v>
      </c>
      <c r="K18">
        <v>19</v>
      </c>
      <c r="L18">
        <v>3</v>
      </c>
      <c r="M18">
        <v>7</v>
      </c>
      <c r="N18">
        <v>1</v>
      </c>
      <c r="O18">
        <v>6</v>
      </c>
      <c r="P18">
        <v>1</v>
      </c>
      <c r="Q18">
        <v>6</v>
      </c>
      <c r="R18">
        <v>1</v>
      </c>
      <c r="S18">
        <v>93.2</v>
      </c>
      <c r="T18">
        <v>81.599999999999994</v>
      </c>
      <c r="U18">
        <v>2</v>
      </c>
      <c r="V18">
        <v>0</v>
      </c>
      <c r="W18">
        <v>50</v>
      </c>
      <c r="X18">
        <v>50</v>
      </c>
      <c r="Y18">
        <v>52.9</v>
      </c>
      <c r="Z18">
        <v>47.1</v>
      </c>
      <c r="AA18" s="17">
        <f t="shared" si="0"/>
        <v>50453</v>
      </c>
      <c r="AB18">
        <f t="shared" si="1"/>
        <v>50400</v>
      </c>
      <c r="AC18" s="18">
        <f t="shared" si="2"/>
        <v>100</v>
      </c>
      <c r="AD18" s="22">
        <f t="shared" si="3"/>
        <v>100</v>
      </c>
      <c r="AJ18" t="s">
        <v>129</v>
      </c>
      <c r="AK18" t="s">
        <v>16</v>
      </c>
      <c r="AL18">
        <v>62850</v>
      </c>
      <c r="AM18">
        <v>3000</v>
      </c>
      <c r="AN18">
        <f t="shared" si="4"/>
        <v>59850</v>
      </c>
    </row>
    <row r="19" spans="1:40" x14ac:dyDescent="0.25">
      <c r="A19" t="s">
        <v>295</v>
      </c>
      <c r="B19" s="20">
        <v>44787</v>
      </c>
      <c r="C19" t="s">
        <v>189</v>
      </c>
      <c r="D19" s="4">
        <v>29281</v>
      </c>
      <c r="E19" t="s">
        <v>123</v>
      </c>
      <c r="F19">
        <v>1</v>
      </c>
      <c r="G19" t="s">
        <v>130</v>
      </c>
      <c r="H19">
        <v>0</v>
      </c>
      <c r="I19">
        <v>43.2</v>
      </c>
      <c r="J19">
        <v>56.8</v>
      </c>
      <c r="K19">
        <v>13</v>
      </c>
      <c r="L19">
        <v>19</v>
      </c>
      <c r="M19">
        <v>6</v>
      </c>
      <c r="N19">
        <v>5</v>
      </c>
      <c r="O19">
        <v>4</v>
      </c>
      <c r="P19">
        <v>8</v>
      </c>
      <c r="Q19">
        <v>3</v>
      </c>
      <c r="R19">
        <v>6</v>
      </c>
      <c r="S19">
        <v>66</v>
      </c>
      <c r="T19">
        <v>74.5</v>
      </c>
      <c r="U19">
        <v>2</v>
      </c>
      <c r="V19">
        <v>0</v>
      </c>
      <c r="W19">
        <v>50</v>
      </c>
      <c r="X19">
        <v>37.5</v>
      </c>
      <c r="Y19">
        <v>47.4</v>
      </c>
      <c r="Z19">
        <v>52.6</v>
      </c>
      <c r="AA19" s="17">
        <f t="shared" si="0"/>
        <v>26281</v>
      </c>
      <c r="AB19">
        <f t="shared" si="1"/>
        <v>27445</v>
      </c>
      <c r="AC19" s="18">
        <f t="shared" si="2"/>
        <v>95</v>
      </c>
      <c r="AD19" s="22">
        <f t="shared" si="3"/>
        <v>95</v>
      </c>
      <c r="AJ19" t="s">
        <v>130</v>
      </c>
      <c r="AK19" t="s">
        <v>151</v>
      </c>
      <c r="AL19">
        <v>68013</v>
      </c>
      <c r="AM19">
        <v>3000</v>
      </c>
      <c r="AN19">
        <f t="shared" si="4"/>
        <v>65013</v>
      </c>
    </row>
    <row r="20" spans="1:40" x14ac:dyDescent="0.25">
      <c r="A20" t="s">
        <v>295</v>
      </c>
      <c r="B20" s="20">
        <v>44787</v>
      </c>
      <c r="C20" t="s">
        <v>142</v>
      </c>
      <c r="D20" s="4">
        <v>39946</v>
      </c>
      <c r="E20" t="s">
        <v>21</v>
      </c>
      <c r="F20">
        <v>2</v>
      </c>
      <c r="G20" t="s">
        <v>129</v>
      </c>
      <c r="H20">
        <v>2</v>
      </c>
      <c r="I20">
        <v>63.7</v>
      </c>
      <c r="J20">
        <v>36.299999999999997</v>
      </c>
      <c r="K20">
        <v>16</v>
      </c>
      <c r="L20">
        <v>10</v>
      </c>
      <c r="M20">
        <v>3</v>
      </c>
      <c r="N20">
        <v>5</v>
      </c>
      <c r="O20">
        <v>6</v>
      </c>
      <c r="P20">
        <v>2</v>
      </c>
      <c r="Q20">
        <v>7</v>
      </c>
      <c r="R20">
        <v>3</v>
      </c>
      <c r="S20">
        <v>85.8</v>
      </c>
      <c r="T20">
        <v>79.099999999999994</v>
      </c>
      <c r="U20">
        <v>2</v>
      </c>
      <c r="V20">
        <v>4</v>
      </c>
      <c r="W20">
        <v>64.3</v>
      </c>
      <c r="X20">
        <v>48</v>
      </c>
      <c r="Y20">
        <v>46.7</v>
      </c>
      <c r="Z20">
        <v>53.3</v>
      </c>
      <c r="AA20" s="17">
        <f t="shared" si="0"/>
        <v>36946</v>
      </c>
      <c r="AB20">
        <f t="shared" si="1"/>
        <v>37343</v>
      </c>
      <c r="AC20" s="18">
        <f t="shared" si="2"/>
        <v>98</v>
      </c>
      <c r="AD20" s="22">
        <f t="shared" si="3"/>
        <v>98</v>
      </c>
      <c r="AJ20" t="s">
        <v>173</v>
      </c>
      <c r="AK20" t="s">
        <v>152</v>
      </c>
      <c r="AL20">
        <v>32050</v>
      </c>
      <c r="AM20">
        <v>3000</v>
      </c>
      <c r="AN20">
        <f t="shared" si="4"/>
        <v>29050</v>
      </c>
    </row>
    <row r="21" spans="1:40" x14ac:dyDescent="0.25">
      <c r="A21" t="s">
        <v>294</v>
      </c>
      <c r="B21" s="20">
        <v>44788</v>
      </c>
      <c r="C21" t="s">
        <v>146</v>
      </c>
      <c r="D21" s="4">
        <v>52970</v>
      </c>
      <c r="E21" t="s">
        <v>17</v>
      </c>
      <c r="F21">
        <v>1</v>
      </c>
      <c r="G21" t="s">
        <v>29</v>
      </c>
      <c r="H21">
        <v>1</v>
      </c>
      <c r="I21">
        <v>72.599999999999994</v>
      </c>
      <c r="J21">
        <v>27.4</v>
      </c>
      <c r="K21">
        <v>24</v>
      </c>
      <c r="L21">
        <v>7</v>
      </c>
      <c r="M21">
        <v>4</v>
      </c>
      <c r="N21">
        <v>3</v>
      </c>
      <c r="O21">
        <v>10</v>
      </c>
      <c r="P21">
        <v>4</v>
      </c>
      <c r="Q21">
        <v>10</v>
      </c>
      <c r="R21">
        <v>0</v>
      </c>
      <c r="S21">
        <v>87</v>
      </c>
      <c r="T21">
        <v>69</v>
      </c>
      <c r="U21">
        <v>3</v>
      </c>
      <c r="V21">
        <v>4</v>
      </c>
      <c r="W21">
        <v>75</v>
      </c>
      <c r="X21">
        <v>60.9</v>
      </c>
      <c r="Y21">
        <v>36</v>
      </c>
      <c r="Z21">
        <v>64</v>
      </c>
      <c r="AA21" s="17">
        <f t="shared" si="0"/>
        <v>49970</v>
      </c>
      <c r="AB21">
        <f t="shared" si="1"/>
        <v>58000</v>
      </c>
      <c r="AC21" s="18">
        <f t="shared" si="2"/>
        <v>86</v>
      </c>
      <c r="AD21" s="22">
        <f t="shared" si="3"/>
        <v>86</v>
      </c>
      <c r="AJ21" t="s">
        <v>27</v>
      </c>
      <c r="AK21" t="s">
        <v>175</v>
      </c>
      <c r="AL21">
        <v>37890</v>
      </c>
      <c r="AM21">
        <v>2670</v>
      </c>
      <c r="AN21">
        <f t="shared" si="4"/>
        <v>35220</v>
      </c>
    </row>
    <row r="22" spans="1:40" x14ac:dyDescent="0.25">
      <c r="A22" t="s">
        <v>293</v>
      </c>
      <c r="B22" s="20">
        <v>44793</v>
      </c>
      <c r="C22" t="s">
        <v>145</v>
      </c>
      <c r="D22" s="4">
        <v>21798</v>
      </c>
      <c r="E22" t="s">
        <v>44</v>
      </c>
      <c r="F22">
        <v>3</v>
      </c>
      <c r="G22" t="s">
        <v>60</v>
      </c>
      <c r="H22">
        <v>2</v>
      </c>
      <c r="I22">
        <v>43.7</v>
      </c>
      <c r="J22">
        <v>56.3</v>
      </c>
      <c r="K22">
        <v>18</v>
      </c>
      <c r="L22">
        <v>13</v>
      </c>
      <c r="M22">
        <v>9</v>
      </c>
      <c r="N22">
        <v>5</v>
      </c>
      <c r="O22">
        <v>4</v>
      </c>
      <c r="P22">
        <v>4</v>
      </c>
      <c r="Q22">
        <v>5</v>
      </c>
      <c r="R22">
        <v>4</v>
      </c>
      <c r="S22">
        <v>70.400000000000006</v>
      </c>
      <c r="T22">
        <v>75.5</v>
      </c>
      <c r="U22">
        <v>3</v>
      </c>
      <c r="V22">
        <v>3</v>
      </c>
      <c r="W22">
        <v>66.7</v>
      </c>
      <c r="X22">
        <v>41.7</v>
      </c>
      <c r="Y22">
        <v>46.5</v>
      </c>
      <c r="Z22">
        <v>53.5</v>
      </c>
      <c r="AA22" s="17">
        <f t="shared" si="0"/>
        <v>18798</v>
      </c>
      <c r="AB22">
        <f t="shared" si="1"/>
        <v>25700</v>
      </c>
      <c r="AC22" s="18">
        <f t="shared" si="2"/>
        <v>73</v>
      </c>
      <c r="AD22" s="22">
        <f t="shared" si="3"/>
        <v>73</v>
      </c>
      <c r="AJ22" t="s">
        <v>36</v>
      </c>
      <c r="AK22" t="s">
        <v>176</v>
      </c>
      <c r="AL22">
        <v>32261</v>
      </c>
      <c r="AM22">
        <v>3000</v>
      </c>
      <c r="AN22">
        <f t="shared" si="4"/>
        <v>29261</v>
      </c>
    </row>
    <row r="23" spans="1:40" x14ac:dyDescent="0.25">
      <c r="A23" t="s">
        <v>293</v>
      </c>
      <c r="B23" s="20">
        <v>44793</v>
      </c>
      <c r="C23" t="s">
        <v>188</v>
      </c>
      <c r="D23" s="4">
        <v>10423</v>
      </c>
      <c r="E23" t="s">
        <v>57</v>
      </c>
      <c r="F23">
        <v>0</v>
      </c>
      <c r="G23" t="s">
        <v>20</v>
      </c>
      <c r="H23">
        <v>3</v>
      </c>
      <c r="I23">
        <v>41.8</v>
      </c>
      <c r="J23">
        <v>58.2</v>
      </c>
      <c r="K23">
        <v>6</v>
      </c>
      <c r="L23">
        <v>14</v>
      </c>
      <c r="M23">
        <v>1</v>
      </c>
      <c r="N23">
        <v>6</v>
      </c>
      <c r="O23">
        <v>5</v>
      </c>
      <c r="P23">
        <v>4</v>
      </c>
      <c r="Q23">
        <v>0</v>
      </c>
      <c r="R23">
        <v>4</v>
      </c>
      <c r="S23">
        <v>78.8</v>
      </c>
      <c r="T23">
        <v>89.1</v>
      </c>
      <c r="U23">
        <v>0</v>
      </c>
      <c r="V23">
        <v>2</v>
      </c>
      <c r="W23">
        <v>36.4</v>
      </c>
      <c r="X23">
        <v>57.1</v>
      </c>
      <c r="Y23">
        <v>44.4</v>
      </c>
      <c r="Z23">
        <v>55.6</v>
      </c>
      <c r="AA23" s="17">
        <f t="shared" si="0"/>
        <v>7423</v>
      </c>
      <c r="AB23">
        <f t="shared" si="1"/>
        <v>9879</v>
      </c>
      <c r="AC23" s="18">
        <f t="shared" si="2"/>
        <v>75</v>
      </c>
      <c r="AD23" s="22">
        <f t="shared" si="3"/>
        <v>75</v>
      </c>
      <c r="AJ23" t="s">
        <v>28</v>
      </c>
      <c r="AK23" t="s">
        <v>309</v>
      </c>
      <c r="AL23">
        <v>32384</v>
      </c>
      <c r="AM23">
        <v>3000</v>
      </c>
      <c r="AN23">
        <f t="shared" si="4"/>
        <v>29384</v>
      </c>
    </row>
    <row r="24" spans="1:40" x14ac:dyDescent="0.25">
      <c r="A24" t="s">
        <v>293</v>
      </c>
      <c r="B24" s="20">
        <v>44793</v>
      </c>
      <c r="C24" t="s">
        <v>143</v>
      </c>
      <c r="D24" s="4">
        <v>22012</v>
      </c>
      <c r="E24" t="s">
        <v>29</v>
      </c>
      <c r="F24">
        <v>3</v>
      </c>
      <c r="G24" t="s">
        <v>12</v>
      </c>
      <c r="H24">
        <v>1</v>
      </c>
      <c r="I24">
        <v>50.8</v>
      </c>
      <c r="J24">
        <v>49.2</v>
      </c>
      <c r="K24">
        <v>17</v>
      </c>
      <c r="L24">
        <v>13</v>
      </c>
      <c r="M24">
        <v>9</v>
      </c>
      <c r="N24">
        <v>5</v>
      </c>
      <c r="O24">
        <v>5</v>
      </c>
      <c r="P24">
        <v>6</v>
      </c>
      <c r="Q24">
        <v>3</v>
      </c>
      <c r="R24">
        <v>2</v>
      </c>
      <c r="S24">
        <v>84.4</v>
      </c>
      <c r="T24">
        <v>81.3</v>
      </c>
      <c r="U24">
        <v>3</v>
      </c>
      <c r="V24">
        <v>1</v>
      </c>
      <c r="W24">
        <v>64.3</v>
      </c>
      <c r="X24">
        <v>46.2</v>
      </c>
      <c r="Y24">
        <v>40.9</v>
      </c>
      <c r="Z24">
        <v>59.1</v>
      </c>
      <c r="AA24" s="17">
        <f t="shared" si="0"/>
        <v>19012</v>
      </c>
      <c r="AB24">
        <f t="shared" si="1"/>
        <v>23486</v>
      </c>
      <c r="AC24" s="18">
        <f t="shared" si="2"/>
        <v>80</v>
      </c>
      <c r="AD24" s="22">
        <f t="shared" si="3"/>
        <v>80</v>
      </c>
    </row>
    <row r="25" spans="1:40" x14ac:dyDescent="0.25">
      <c r="A25" t="s">
        <v>293</v>
      </c>
      <c r="B25" s="20">
        <v>44793</v>
      </c>
      <c r="C25" t="s">
        <v>176</v>
      </c>
      <c r="D25" s="4">
        <v>30850</v>
      </c>
      <c r="E25" t="s">
        <v>36</v>
      </c>
      <c r="F25">
        <v>1</v>
      </c>
      <c r="G25" t="s">
        <v>28</v>
      </c>
      <c r="H25">
        <v>2</v>
      </c>
      <c r="I25">
        <v>62</v>
      </c>
      <c r="J25">
        <v>38</v>
      </c>
      <c r="K25">
        <v>6</v>
      </c>
      <c r="L25">
        <v>9</v>
      </c>
      <c r="M25">
        <v>1</v>
      </c>
      <c r="N25">
        <v>3</v>
      </c>
      <c r="O25">
        <v>3</v>
      </c>
      <c r="P25">
        <v>5</v>
      </c>
      <c r="Q25">
        <v>2</v>
      </c>
      <c r="R25">
        <v>1</v>
      </c>
      <c r="S25">
        <v>81.7</v>
      </c>
      <c r="T25">
        <v>71.599999999999994</v>
      </c>
      <c r="U25">
        <v>0</v>
      </c>
      <c r="V25">
        <v>3</v>
      </c>
      <c r="W25">
        <v>73.3</v>
      </c>
      <c r="X25">
        <v>63.2</v>
      </c>
      <c r="Y25">
        <v>45.9</v>
      </c>
      <c r="Z25">
        <v>54.1</v>
      </c>
      <c r="AA25" s="17">
        <f t="shared" si="0"/>
        <v>27850</v>
      </c>
      <c r="AB25">
        <f t="shared" si="1"/>
        <v>29261</v>
      </c>
      <c r="AC25" s="18">
        <f t="shared" si="2"/>
        <v>95</v>
      </c>
      <c r="AD25" s="22">
        <f t="shared" si="3"/>
        <v>95</v>
      </c>
    </row>
    <row r="26" spans="1:40" x14ac:dyDescent="0.25">
      <c r="A26" t="s">
        <v>293</v>
      </c>
      <c r="B26" s="20">
        <v>44793</v>
      </c>
      <c r="C26" t="s">
        <v>187</v>
      </c>
      <c r="D26" s="4">
        <v>61298</v>
      </c>
      <c r="E26" t="s">
        <v>129</v>
      </c>
      <c r="F26">
        <v>1</v>
      </c>
      <c r="G26" t="s">
        <v>173</v>
      </c>
      <c r="H26">
        <v>0</v>
      </c>
      <c r="I26">
        <v>49.9</v>
      </c>
      <c r="J26">
        <v>50.1</v>
      </c>
      <c r="K26">
        <v>11</v>
      </c>
      <c r="L26">
        <v>20</v>
      </c>
      <c r="M26">
        <v>4</v>
      </c>
      <c r="N26">
        <v>3</v>
      </c>
      <c r="O26">
        <v>5</v>
      </c>
      <c r="P26">
        <v>8</v>
      </c>
      <c r="Q26">
        <v>2</v>
      </c>
      <c r="R26">
        <v>9</v>
      </c>
      <c r="S26">
        <v>87.1</v>
      </c>
      <c r="T26">
        <v>83.6</v>
      </c>
      <c r="U26">
        <v>1</v>
      </c>
      <c r="V26">
        <v>0</v>
      </c>
      <c r="W26">
        <v>44.4</v>
      </c>
      <c r="X26">
        <v>66.7</v>
      </c>
      <c r="Y26">
        <v>35.700000000000003</v>
      </c>
      <c r="Z26">
        <v>64.3</v>
      </c>
      <c r="AA26" s="17">
        <f t="shared" si="0"/>
        <v>58298</v>
      </c>
      <c r="AB26">
        <f t="shared" si="1"/>
        <v>59850</v>
      </c>
      <c r="AC26" s="18">
        <f t="shared" si="2"/>
        <v>97</v>
      </c>
      <c r="AD26" s="22">
        <f t="shared" si="3"/>
        <v>97</v>
      </c>
    </row>
    <row r="27" spans="1:40" x14ac:dyDescent="0.25">
      <c r="A27" t="s">
        <v>293</v>
      </c>
      <c r="B27" s="20">
        <v>44793</v>
      </c>
      <c r="C27" t="s">
        <v>144</v>
      </c>
      <c r="D27" s="4">
        <v>39271</v>
      </c>
      <c r="E27" t="s">
        <v>23</v>
      </c>
      <c r="F27">
        <v>1</v>
      </c>
      <c r="G27" t="s">
        <v>123</v>
      </c>
      <c r="H27">
        <v>1</v>
      </c>
      <c r="I27">
        <v>48.3</v>
      </c>
      <c r="J27">
        <v>51.7</v>
      </c>
      <c r="K27">
        <v>19</v>
      </c>
      <c r="L27">
        <v>14</v>
      </c>
      <c r="M27">
        <v>8</v>
      </c>
      <c r="N27">
        <v>5</v>
      </c>
      <c r="O27">
        <v>6</v>
      </c>
      <c r="P27">
        <v>6</v>
      </c>
      <c r="Q27">
        <v>5</v>
      </c>
      <c r="R27">
        <v>3</v>
      </c>
      <c r="S27">
        <v>77.400000000000006</v>
      </c>
      <c r="T27">
        <v>73.400000000000006</v>
      </c>
      <c r="U27">
        <v>1</v>
      </c>
      <c r="V27">
        <v>0</v>
      </c>
      <c r="W27">
        <v>61.5</v>
      </c>
      <c r="X27">
        <v>77.3</v>
      </c>
      <c r="Y27">
        <v>40</v>
      </c>
      <c r="Z27">
        <v>60</v>
      </c>
      <c r="AA27" s="17">
        <f t="shared" si="0"/>
        <v>36271</v>
      </c>
      <c r="AB27">
        <f t="shared" si="1"/>
        <v>36572</v>
      </c>
      <c r="AC27" s="18">
        <f t="shared" si="2"/>
        <v>99</v>
      </c>
      <c r="AD27" s="22">
        <f t="shared" si="3"/>
        <v>99</v>
      </c>
    </row>
    <row r="28" spans="1:40" x14ac:dyDescent="0.25">
      <c r="A28" t="s">
        <v>292</v>
      </c>
      <c r="B28" s="20">
        <v>44794</v>
      </c>
      <c r="C28" t="s">
        <v>184</v>
      </c>
      <c r="D28" s="4">
        <v>62449</v>
      </c>
      <c r="E28" t="s">
        <v>130</v>
      </c>
      <c r="F28">
        <v>0</v>
      </c>
      <c r="G28" t="s">
        <v>126</v>
      </c>
      <c r="H28">
        <v>2</v>
      </c>
      <c r="I28">
        <v>49.6</v>
      </c>
      <c r="J28">
        <v>50.4</v>
      </c>
      <c r="K28">
        <v>13</v>
      </c>
      <c r="L28">
        <v>11</v>
      </c>
      <c r="M28">
        <v>3</v>
      </c>
      <c r="N28">
        <v>2</v>
      </c>
      <c r="O28">
        <v>3</v>
      </c>
      <c r="P28">
        <v>5</v>
      </c>
      <c r="Q28">
        <v>7</v>
      </c>
      <c r="R28">
        <v>4</v>
      </c>
      <c r="S28">
        <v>80.5</v>
      </c>
      <c r="T28">
        <v>81.400000000000006</v>
      </c>
      <c r="U28">
        <v>0</v>
      </c>
      <c r="V28">
        <v>2</v>
      </c>
      <c r="W28">
        <v>62.5</v>
      </c>
      <c r="X28">
        <v>41.2</v>
      </c>
      <c r="Y28">
        <v>69</v>
      </c>
      <c r="Z28">
        <v>31</v>
      </c>
      <c r="AA28" s="17">
        <f t="shared" si="0"/>
        <v>59449</v>
      </c>
      <c r="AB28">
        <f t="shared" si="1"/>
        <v>65013</v>
      </c>
      <c r="AC28" s="18">
        <f t="shared" si="2"/>
        <v>91</v>
      </c>
      <c r="AD28" s="22">
        <f t="shared" si="3"/>
        <v>91</v>
      </c>
    </row>
    <row r="29" spans="1:40" x14ac:dyDescent="0.25">
      <c r="A29" t="s">
        <v>292</v>
      </c>
      <c r="B29" s="20">
        <v>44794</v>
      </c>
      <c r="C29" t="s">
        <v>175</v>
      </c>
      <c r="D29" s="4">
        <v>36372</v>
      </c>
      <c r="E29" t="s">
        <v>27</v>
      </c>
      <c r="F29">
        <v>3</v>
      </c>
      <c r="G29" t="s">
        <v>21</v>
      </c>
      <c r="H29">
        <v>0</v>
      </c>
      <c r="I29">
        <v>39.1</v>
      </c>
      <c r="J29">
        <v>60.9</v>
      </c>
      <c r="K29">
        <v>12</v>
      </c>
      <c r="L29">
        <v>14</v>
      </c>
      <c r="M29">
        <v>6</v>
      </c>
      <c r="N29">
        <v>3</v>
      </c>
      <c r="O29">
        <v>4</v>
      </c>
      <c r="P29">
        <v>4</v>
      </c>
      <c r="Q29">
        <v>2</v>
      </c>
      <c r="R29">
        <v>7</v>
      </c>
      <c r="S29">
        <v>71.400000000000006</v>
      </c>
      <c r="T29">
        <v>82</v>
      </c>
      <c r="U29">
        <v>2</v>
      </c>
      <c r="V29">
        <v>0</v>
      </c>
      <c r="W29">
        <v>53.8</v>
      </c>
      <c r="X29">
        <v>45.5</v>
      </c>
      <c r="Y29">
        <v>32.299999999999997</v>
      </c>
      <c r="Z29">
        <v>67.7</v>
      </c>
      <c r="AA29" s="17">
        <f t="shared" si="0"/>
        <v>33372</v>
      </c>
      <c r="AB29">
        <f t="shared" si="1"/>
        <v>35220</v>
      </c>
      <c r="AC29" s="18">
        <f t="shared" si="2"/>
        <v>94</v>
      </c>
      <c r="AD29" s="22">
        <f t="shared" si="3"/>
        <v>94</v>
      </c>
    </row>
    <row r="30" spans="1:40" x14ac:dyDescent="0.25">
      <c r="A30" t="s">
        <v>292</v>
      </c>
      <c r="B30" s="20">
        <v>44794</v>
      </c>
      <c r="C30" t="s">
        <v>182</v>
      </c>
      <c r="D30" s="4">
        <v>52258</v>
      </c>
      <c r="E30" t="s">
        <v>128</v>
      </c>
      <c r="F30">
        <v>3</v>
      </c>
      <c r="G30" t="s">
        <v>19</v>
      </c>
      <c r="H30">
        <v>3</v>
      </c>
      <c r="I30">
        <v>31.3</v>
      </c>
      <c r="J30">
        <v>68.7</v>
      </c>
      <c r="K30">
        <v>12</v>
      </c>
      <c r="L30">
        <v>21</v>
      </c>
      <c r="M30">
        <v>6</v>
      </c>
      <c r="N30">
        <v>10</v>
      </c>
      <c r="O30">
        <v>4</v>
      </c>
      <c r="P30">
        <v>4</v>
      </c>
      <c r="Q30">
        <v>2</v>
      </c>
      <c r="R30">
        <v>7</v>
      </c>
      <c r="S30">
        <v>67.3</v>
      </c>
      <c r="T30">
        <v>85.7</v>
      </c>
      <c r="U30">
        <v>4</v>
      </c>
      <c r="V30">
        <v>6</v>
      </c>
      <c r="W30">
        <v>53.8</v>
      </c>
      <c r="X30">
        <v>55.6</v>
      </c>
      <c r="Y30">
        <v>44.4</v>
      </c>
      <c r="Z30">
        <v>55.6</v>
      </c>
      <c r="AA30" s="17">
        <f t="shared" si="0"/>
        <v>49258</v>
      </c>
      <c r="AB30">
        <f t="shared" si="1"/>
        <v>49350</v>
      </c>
      <c r="AC30" s="18">
        <f t="shared" si="2"/>
        <v>99</v>
      </c>
      <c r="AD30" s="22">
        <f t="shared" si="3"/>
        <v>99</v>
      </c>
    </row>
    <row r="31" spans="1:40" x14ac:dyDescent="0.25">
      <c r="A31" t="s">
        <v>291</v>
      </c>
      <c r="B31" s="20">
        <v>44800</v>
      </c>
      <c r="C31" t="s">
        <v>146</v>
      </c>
      <c r="D31" s="4">
        <v>53328</v>
      </c>
      <c r="E31" t="s">
        <v>17</v>
      </c>
      <c r="F31">
        <v>9</v>
      </c>
      <c r="G31" t="s">
        <v>57</v>
      </c>
      <c r="H31">
        <v>0</v>
      </c>
      <c r="I31">
        <v>69.400000000000006</v>
      </c>
      <c r="J31">
        <v>30.6</v>
      </c>
      <c r="K31">
        <v>19</v>
      </c>
      <c r="L31">
        <v>5</v>
      </c>
      <c r="M31">
        <v>12</v>
      </c>
      <c r="N31">
        <v>2</v>
      </c>
      <c r="O31">
        <v>6</v>
      </c>
      <c r="P31">
        <v>2</v>
      </c>
      <c r="Q31">
        <v>1</v>
      </c>
      <c r="R31">
        <v>1</v>
      </c>
      <c r="S31">
        <v>86.5</v>
      </c>
      <c r="T31">
        <v>69.599999999999994</v>
      </c>
      <c r="U31">
        <v>3</v>
      </c>
      <c r="V31">
        <v>0</v>
      </c>
      <c r="W31">
        <v>83.3</v>
      </c>
      <c r="X31">
        <v>60</v>
      </c>
      <c r="Y31">
        <v>56.3</v>
      </c>
      <c r="Z31">
        <v>43.8</v>
      </c>
      <c r="AA31" s="17">
        <f t="shared" si="0"/>
        <v>50328</v>
      </c>
      <c r="AB31">
        <f t="shared" si="1"/>
        <v>58000</v>
      </c>
      <c r="AC31" s="18">
        <f t="shared" si="2"/>
        <v>86</v>
      </c>
      <c r="AD31" s="22">
        <f t="shared" si="3"/>
        <v>86</v>
      </c>
    </row>
    <row r="32" spans="1:40" x14ac:dyDescent="0.25">
      <c r="A32" t="s">
        <v>291</v>
      </c>
      <c r="B32" s="20">
        <v>44800</v>
      </c>
      <c r="C32" t="s">
        <v>174</v>
      </c>
      <c r="D32" s="4">
        <v>17009</v>
      </c>
      <c r="E32" t="s">
        <v>60</v>
      </c>
      <c r="F32">
        <v>1</v>
      </c>
      <c r="G32" t="s">
        <v>23</v>
      </c>
      <c r="H32">
        <v>1</v>
      </c>
      <c r="I32">
        <v>57.8</v>
      </c>
      <c r="J32">
        <v>42.2</v>
      </c>
      <c r="K32">
        <v>20</v>
      </c>
      <c r="L32">
        <v>14</v>
      </c>
      <c r="M32">
        <v>5</v>
      </c>
      <c r="N32">
        <v>7</v>
      </c>
      <c r="O32">
        <v>10</v>
      </c>
      <c r="P32">
        <v>2</v>
      </c>
      <c r="Q32">
        <v>5</v>
      </c>
      <c r="R32">
        <v>5</v>
      </c>
      <c r="S32">
        <v>83.5</v>
      </c>
      <c r="T32">
        <v>78.400000000000006</v>
      </c>
      <c r="U32">
        <v>2</v>
      </c>
      <c r="V32">
        <v>2</v>
      </c>
      <c r="W32">
        <v>42.9</v>
      </c>
      <c r="X32">
        <v>72.7</v>
      </c>
      <c r="Y32">
        <v>55.3</v>
      </c>
      <c r="Z32">
        <v>44.7</v>
      </c>
      <c r="AA32" s="17">
        <f t="shared" si="0"/>
        <v>14009</v>
      </c>
      <c r="AB32">
        <f t="shared" si="1"/>
        <v>15250</v>
      </c>
      <c r="AC32" s="18">
        <f t="shared" si="2"/>
        <v>91</v>
      </c>
      <c r="AD32" s="22">
        <f t="shared" si="3"/>
        <v>91</v>
      </c>
    </row>
    <row r="33" spans="1:30" x14ac:dyDescent="0.25">
      <c r="A33" t="s">
        <v>291</v>
      </c>
      <c r="B33" s="20">
        <v>44800</v>
      </c>
      <c r="C33" t="s">
        <v>177</v>
      </c>
      <c r="D33" s="4">
        <v>31196</v>
      </c>
      <c r="E33" t="s">
        <v>28</v>
      </c>
      <c r="F33">
        <v>0</v>
      </c>
      <c r="G33" t="s">
        <v>127</v>
      </c>
      <c r="H33">
        <v>1</v>
      </c>
      <c r="I33">
        <v>48.3</v>
      </c>
      <c r="J33">
        <v>51.7</v>
      </c>
      <c r="K33">
        <v>17</v>
      </c>
      <c r="L33">
        <v>11</v>
      </c>
      <c r="M33">
        <v>5</v>
      </c>
      <c r="N33">
        <v>6</v>
      </c>
      <c r="O33">
        <v>10</v>
      </c>
      <c r="P33">
        <v>2</v>
      </c>
      <c r="Q33">
        <v>2</v>
      </c>
      <c r="R33">
        <v>3</v>
      </c>
      <c r="S33">
        <v>73.099999999999994</v>
      </c>
      <c r="T33">
        <v>74</v>
      </c>
      <c r="U33">
        <v>1</v>
      </c>
      <c r="V33">
        <v>1</v>
      </c>
      <c r="W33">
        <v>47.1</v>
      </c>
      <c r="X33">
        <v>57.1</v>
      </c>
      <c r="Y33">
        <v>42.2</v>
      </c>
      <c r="Z33">
        <v>57.8</v>
      </c>
      <c r="AA33" s="17">
        <f t="shared" si="0"/>
        <v>28196</v>
      </c>
      <c r="AB33">
        <f t="shared" si="1"/>
        <v>29384</v>
      </c>
      <c r="AC33" s="18">
        <f t="shared" si="2"/>
        <v>95</v>
      </c>
      <c r="AD33" s="22">
        <f t="shared" si="3"/>
        <v>95</v>
      </c>
    </row>
    <row r="34" spans="1:30" x14ac:dyDescent="0.25">
      <c r="A34" t="s">
        <v>291</v>
      </c>
      <c r="B34" s="20">
        <v>44800</v>
      </c>
      <c r="C34" t="s">
        <v>180</v>
      </c>
      <c r="D34" s="4">
        <v>30953</v>
      </c>
      <c r="E34" t="s">
        <v>126</v>
      </c>
      <c r="F34">
        <v>1</v>
      </c>
      <c r="G34" t="s">
        <v>27</v>
      </c>
      <c r="H34">
        <v>0</v>
      </c>
      <c r="I34">
        <v>42.8</v>
      </c>
      <c r="J34">
        <v>57.2</v>
      </c>
      <c r="K34">
        <v>13</v>
      </c>
      <c r="L34">
        <v>10</v>
      </c>
      <c r="M34">
        <v>4</v>
      </c>
      <c r="N34">
        <v>2</v>
      </c>
      <c r="O34">
        <v>8</v>
      </c>
      <c r="P34">
        <v>3</v>
      </c>
      <c r="Q34">
        <v>1</v>
      </c>
      <c r="R34">
        <v>5</v>
      </c>
      <c r="S34">
        <v>70.8</v>
      </c>
      <c r="T34">
        <v>75.599999999999994</v>
      </c>
      <c r="U34">
        <v>2</v>
      </c>
      <c r="V34">
        <v>0</v>
      </c>
      <c r="W34">
        <v>71.400000000000006</v>
      </c>
      <c r="X34">
        <v>54.5</v>
      </c>
      <c r="Y34">
        <v>58.3</v>
      </c>
      <c r="Z34">
        <v>41.7</v>
      </c>
      <c r="AA34" s="17">
        <f t="shared" si="0"/>
        <v>27953</v>
      </c>
      <c r="AB34">
        <f t="shared" si="1"/>
        <v>28876</v>
      </c>
      <c r="AC34" s="18">
        <f t="shared" si="2"/>
        <v>96</v>
      </c>
      <c r="AD34" s="22">
        <f t="shared" si="3"/>
        <v>96</v>
      </c>
    </row>
    <row r="35" spans="1:30" x14ac:dyDescent="0.25">
      <c r="A35" t="s">
        <v>291</v>
      </c>
      <c r="B35" s="20">
        <v>44800</v>
      </c>
      <c r="C35" t="s">
        <v>142</v>
      </c>
      <c r="D35" s="4">
        <v>39953</v>
      </c>
      <c r="E35" t="s">
        <v>21</v>
      </c>
      <c r="F35">
        <v>2</v>
      </c>
      <c r="G35" t="s">
        <v>36</v>
      </c>
      <c r="H35">
        <v>1</v>
      </c>
      <c r="I35">
        <v>45.1</v>
      </c>
      <c r="J35">
        <v>54.9</v>
      </c>
      <c r="K35">
        <v>7</v>
      </c>
      <c r="L35">
        <v>17</v>
      </c>
      <c r="M35">
        <v>4</v>
      </c>
      <c r="N35">
        <v>5</v>
      </c>
      <c r="O35">
        <v>1</v>
      </c>
      <c r="P35">
        <v>7</v>
      </c>
      <c r="Q35">
        <v>2</v>
      </c>
      <c r="R35">
        <v>5</v>
      </c>
      <c r="S35">
        <v>83.4</v>
      </c>
      <c r="T35">
        <v>87</v>
      </c>
      <c r="U35">
        <v>2</v>
      </c>
      <c r="V35">
        <v>4</v>
      </c>
      <c r="W35">
        <v>66.7</v>
      </c>
      <c r="X35">
        <v>58.8</v>
      </c>
      <c r="Y35">
        <v>51.4</v>
      </c>
      <c r="Z35">
        <v>48.6</v>
      </c>
      <c r="AA35" s="17">
        <f t="shared" si="0"/>
        <v>36953</v>
      </c>
      <c r="AB35">
        <f t="shared" si="1"/>
        <v>37343</v>
      </c>
      <c r="AC35" s="18">
        <f t="shared" si="2"/>
        <v>98</v>
      </c>
      <c r="AD35" s="22">
        <f t="shared" si="3"/>
        <v>98</v>
      </c>
    </row>
    <row r="36" spans="1:30" x14ac:dyDescent="0.25">
      <c r="A36" t="s">
        <v>291</v>
      </c>
      <c r="B36" s="20">
        <v>44800</v>
      </c>
      <c r="C36" t="s">
        <v>185</v>
      </c>
      <c r="D36" s="4">
        <v>53112</v>
      </c>
      <c r="E36" t="s">
        <v>19</v>
      </c>
      <c r="F36">
        <v>4</v>
      </c>
      <c r="G36" t="s">
        <v>29</v>
      </c>
      <c r="H36">
        <v>2</v>
      </c>
      <c r="I36">
        <v>74.3</v>
      </c>
      <c r="J36">
        <v>25.7</v>
      </c>
      <c r="K36">
        <v>18</v>
      </c>
      <c r="L36">
        <v>2</v>
      </c>
      <c r="M36">
        <v>5</v>
      </c>
      <c r="N36">
        <v>2</v>
      </c>
      <c r="O36">
        <v>9</v>
      </c>
      <c r="P36">
        <v>0</v>
      </c>
      <c r="Q36">
        <v>4</v>
      </c>
      <c r="R36">
        <v>0</v>
      </c>
      <c r="S36">
        <v>91.2</v>
      </c>
      <c r="T36">
        <v>74</v>
      </c>
      <c r="U36">
        <v>4</v>
      </c>
      <c r="V36">
        <v>1</v>
      </c>
      <c r="W36">
        <v>83.3</v>
      </c>
      <c r="X36">
        <v>66.7</v>
      </c>
      <c r="Y36">
        <v>66.7</v>
      </c>
      <c r="Z36">
        <v>33.299999999999997</v>
      </c>
      <c r="AA36" s="17">
        <f t="shared" si="0"/>
        <v>50112</v>
      </c>
      <c r="AB36">
        <f t="shared" si="1"/>
        <v>50400</v>
      </c>
      <c r="AC36" s="18">
        <f t="shared" si="2"/>
        <v>99</v>
      </c>
      <c r="AD36" s="22">
        <f t="shared" si="3"/>
        <v>99</v>
      </c>
    </row>
    <row r="37" spans="1:30" x14ac:dyDescent="0.25">
      <c r="A37" t="s">
        <v>291</v>
      </c>
      <c r="B37" s="20">
        <v>44800</v>
      </c>
      <c r="C37" t="s">
        <v>172</v>
      </c>
      <c r="D37" s="4">
        <v>60164</v>
      </c>
      <c r="E37" t="s">
        <v>20</v>
      </c>
      <c r="F37">
        <v>2</v>
      </c>
      <c r="G37" t="s">
        <v>44</v>
      </c>
      <c r="H37">
        <v>1</v>
      </c>
      <c r="I37">
        <v>72</v>
      </c>
      <c r="J37">
        <v>28</v>
      </c>
      <c r="K37">
        <v>22</v>
      </c>
      <c r="L37">
        <v>11</v>
      </c>
      <c r="M37">
        <v>8</v>
      </c>
      <c r="N37">
        <v>3</v>
      </c>
      <c r="O37">
        <v>4</v>
      </c>
      <c r="P37">
        <v>6</v>
      </c>
      <c r="Q37">
        <v>10</v>
      </c>
      <c r="R37">
        <v>2</v>
      </c>
      <c r="S37">
        <v>85.5</v>
      </c>
      <c r="T37">
        <v>61.9</v>
      </c>
      <c r="U37">
        <v>2</v>
      </c>
      <c r="V37">
        <v>0</v>
      </c>
      <c r="W37">
        <v>73.3</v>
      </c>
      <c r="X37">
        <v>45.8</v>
      </c>
      <c r="Y37">
        <v>33.299999999999997</v>
      </c>
      <c r="Z37">
        <v>66.7</v>
      </c>
      <c r="AA37" s="17">
        <f t="shared" si="0"/>
        <v>57164</v>
      </c>
      <c r="AB37">
        <f t="shared" si="1"/>
        <v>57704</v>
      </c>
      <c r="AC37" s="18">
        <f t="shared" si="2"/>
        <v>99</v>
      </c>
      <c r="AD37" s="22">
        <f t="shared" si="3"/>
        <v>99</v>
      </c>
    </row>
    <row r="38" spans="1:30" x14ac:dyDescent="0.25">
      <c r="A38" t="s">
        <v>290</v>
      </c>
      <c r="B38" s="20">
        <v>44801</v>
      </c>
      <c r="C38" t="s">
        <v>189</v>
      </c>
      <c r="D38" s="4">
        <v>29296</v>
      </c>
      <c r="E38" t="s">
        <v>123</v>
      </c>
      <c r="F38">
        <v>0</v>
      </c>
      <c r="G38" t="s">
        <v>129</v>
      </c>
      <c r="H38">
        <v>2</v>
      </c>
      <c r="I38">
        <v>55.3</v>
      </c>
      <c r="J38">
        <v>44.7</v>
      </c>
      <c r="K38">
        <v>17</v>
      </c>
      <c r="L38">
        <v>18</v>
      </c>
      <c r="M38">
        <v>1</v>
      </c>
      <c r="N38">
        <v>7</v>
      </c>
      <c r="O38">
        <v>9</v>
      </c>
      <c r="P38">
        <v>7</v>
      </c>
      <c r="Q38">
        <v>7</v>
      </c>
      <c r="R38">
        <v>4</v>
      </c>
      <c r="S38">
        <v>84.7</v>
      </c>
      <c r="T38">
        <v>80.5</v>
      </c>
      <c r="U38">
        <v>0</v>
      </c>
      <c r="V38">
        <v>1</v>
      </c>
      <c r="W38">
        <v>52.4</v>
      </c>
      <c r="X38">
        <v>53.8</v>
      </c>
      <c r="Y38">
        <v>50</v>
      </c>
      <c r="Z38">
        <v>50</v>
      </c>
      <c r="AA38" s="17">
        <f t="shared" si="0"/>
        <v>26296</v>
      </c>
      <c r="AB38">
        <f t="shared" si="1"/>
        <v>27445</v>
      </c>
      <c r="AC38" s="18">
        <f t="shared" si="2"/>
        <v>95</v>
      </c>
      <c r="AD38" s="22">
        <f t="shared" si="3"/>
        <v>95</v>
      </c>
    </row>
    <row r="39" spans="1:30" x14ac:dyDescent="0.25">
      <c r="A39" t="s">
        <v>290</v>
      </c>
      <c r="B39" s="20">
        <v>44801</v>
      </c>
      <c r="C39" t="s">
        <v>152</v>
      </c>
      <c r="D39" s="4">
        <v>31311</v>
      </c>
      <c r="E39" t="s">
        <v>173</v>
      </c>
      <c r="F39">
        <v>1</v>
      </c>
      <c r="G39" t="s">
        <v>128</v>
      </c>
      <c r="H39">
        <v>1</v>
      </c>
      <c r="I39">
        <v>36.1</v>
      </c>
      <c r="J39">
        <v>63.9</v>
      </c>
      <c r="K39">
        <v>10</v>
      </c>
      <c r="L39">
        <v>21</v>
      </c>
      <c r="M39">
        <v>4</v>
      </c>
      <c r="N39">
        <v>6</v>
      </c>
      <c r="O39">
        <v>2</v>
      </c>
      <c r="P39">
        <v>4</v>
      </c>
      <c r="Q39">
        <v>4</v>
      </c>
      <c r="R39">
        <v>11</v>
      </c>
      <c r="S39">
        <v>69.400000000000006</v>
      </c>
      <c r="T39">
        <v>82.1</v>
      </c>
      <c r="U39">
        <v>1</v>
      </c>
      <c r="V39">
        <v>0</v>
      </c>
      <c r="W39">
        <v>45.5</v>
      </c>
      <c r="X39">
        <v>66.7</v>
      </c>
      <c r="Y39">
        <v>40.700000000000003</v>
      </c>
      <c r="Z39">
        <v>59.3</v>
      </c>
      <c r="AA39" s="17">
        <f t="shared" si="0"/>
        <v>28311</v>
      </c>
      <c r="AB39">
        <f t="shared" si="1"/>
        <v>29050</v>
      </c>
      <c r="AC39" s="18">
        <f t="shared" si="2"/>
        <v>97</v>
      </c>
      <c r="AD39" s="22">
        <f t="shared" si="3"/>
        <v>97</v>
      </c>
    </row>
    <row r="40" spans="1:30" x14ac:dyDescent="0.25">
      <c r="A40" t="s">
        <v>290</v>
      </c>
      <c r="B40" s="20">
        <v>44801</v>
      </c>
      <c r="C40" t="s">
        <v>138</v>
      </c>
      <c r="D40" s="4">
        <v>41796</v>
      </c>
      <c r="E40" t="s">
        <v>12</v>
      </c>
      <c r="F40">
        <v>0</v>
      </c>
      <c r="G40" t="s">
        <v>130</v>
      </c>
      <c r="H40">
        <v>1</v>
      </c>
      <c r="I40">
        <v>57.8</v>
      </c>
      <c r="J40">
        <v>42.2</v>
      </c>
      <c r="K40">
        <v>9</v>
      </c>
      <c r="L40">
        <v>7</v>
      </c>
      <c r="M40">
        <v>3</v>
      </c>
      <c r="N40">
        <v>2</v>
      </c>
      <c r="O40">
        <v>4</v>
      </c>
      <c r="P40">
        <v>3</v>
      </c>
      <c r="Q40">
        <v>2</v>
      </c>
      <c r="R40">
        <v>2</v>
      </c>
      <c r="S40">
        <v>84</v>
      </c>
      <c r="T40">
        <v>78.5</v>
      </c>
      <c r="U40">
        <v>0</v>
      </c>
      <c r="V40">
        <v>0</v>
      </c>
      <c r="W40">
        <v>64.7</v>
      </c>
      <c r="X40">
        <v>46.2</v>
      </c>
      <c r="Y40">
        <v>59.1</v>
      </c>
      <c r="Z40">
        <v>40.9</v>
      </c>
      <c r="AA40" s="17">
        <f t="shared" si="0"/>
        <v>38796</v>
      </c>
      <c r="AB40">
        <f t="shared" si="1"/>
        <v>39000</v>
      </c>
      <c r="AC40" s="18">
        <f t="shared" si="2"/>
        <v>99</v>
      </c>
      <c r="AD40" s="22">
        <f t="shared" si="3"/>
        <v>99</v>
      </c>
    </row>
    <row r="41" spans="1:30" x14ac:dyDescent="0.25">
      <c r="A41" t="s">
        <v>289</v>
      </c>
      <c r="B41" s="20">
        <v>44803</v>
      </c>
      <c r="C41" t="s">
        <v>145</v>
      </c>
      <c r="D41" s="4">
        <v>22224</v>
      </c>
      <c r="E41" t="s">
        <v>44</v>
      </c>
      <c r="F41">
        <v>2</v>
      </c>
      <c r="G41" t="s">
        <v>126</v>
      </c>
      <c r="H41">
        <v>1</v>
      </c>
      <c r="I41">
        <v>39.1</v>
      </c>
      <c r="J41">
        <v>60.9</v>
      </c>
      <c r="K41">
        <v>10</v>
      </c>
      <c r="L41">
        <v>7</v>
      </c>
      <c r="M41">
        <v>3</v>
      </c>
      <c r="N41">
        <v>4</v>
      </c>
      <c r="O41">
        <v>7</v>
      </c>
      <c r="P41">
        <v>3</v>
      </c>
      <c r="Q41">
        <v>0</v>
      </c>
      <c r="R41">
        <v>0</v>
      </c>
      <c r="S41">
        <v>74.7</v>
      </c>
      <c r="T41">
        <v>83.7</v>
      </c>
      <c r="U41">
        <v>1</v>
      </c>
      <c r="V41">
        <v>1</v>
      </c>
      <c r="W41">
        <v>57.7</v>
      </c>
      <c r="X41">
        <v>52.2</v>
      </c>
      <c r="Y41">
        <v>58.1</v>
      </c>
      <c r="Z41">
        <v>41.9</v>
      </c>
      <c r="AA41" s="17">
        <f t="shared" si="0"/>
        <v>19224</v>
      </c>
      <c r="AB41">
        <f t="shared" si="1"/>
        <v>25700</v>
      </c>
      <c r="AC41" s="18">
        <f t="shared" si="2"/>
        <v>74</v>
      </c>
      <c r="AD41" s="22">
        <f t="shared" si="3"/>
        <v>74</v>
      </c>
    </row>
    <row r="42" spans="1:30" x14ac:dyDescent="0.25">
      <c r="A42" t="s">
        <v>289</v>
      </c>
      <c r="B42" s="20">
        <v>44803</v>
      </c>
      <c r="C42" t="s">
        <v>143</v>
      </c>
      <c r="D42" s="4">
        <v>25043</v>
      </c>
      <c r="E42" t="s">
        <v>29</v>
      </c>
      <c r="F42">
        <v>1</v>
      </c>
      <c r="G42" t="s">
        <v>60</v>
      </c>
      <c r="H42">
        <v>1</v>
      </c>
      <c r="I42">
        <v>48.9</v>
      </c>
      <c r="J42">
        <v>51.1</v>
      </c>
      <c r="K42">
        <v>13</v>
      </c>
      <c r="L42">
        <v>9</v>
      </c>
      <c r="M42">
        <v>4</v>
      </c>
      <c r="N42">
        <v>3</v>
      </c>
      <c r="O42">
        <v>6</v>
      </c>
      <c r="P42">
        <v>5</v>
      </c>
      <c r="Q42">
        <v>3</v>
      </c>
      <c r="R42">
        <v>1</v>
      </c>
      <c r="S42">
        <v>81.099999999999994</v>
      </c>
      <c r="T42">
        <v>80.099999999999994</v>
      </c>
      <c r="U42">
        <v>0</v>
      </c>
      <c r="V42">
        <v>5</v>
      </c>
      <c r="W42">
        <v>57.1</v>
      </c>
      <c r="X42">
        <v>92.9</v>
      </c>
      <c r="Y42">
        <v>53.8</v>
      </c>
      <c r="Z42">
        <v>46.2</v>
      </c>
      <c r="AA42" s="17">
        <f t="shared" si="0"/>
        <v>22043</v>
      </c>
      <c r="AB42">
        <f t="shared" si="1"/>
        <v>23486</v>
      </c>
      <c r="AC42" s="18">
        <f t="shared" si="2"/>
        <v>93</v>
      </c>
      <c r="AD42" s="22">
        <f t="shared" si="3"/>
        <v>93</v>
      </c>
    </row>
    <row r="43" spans="1:30" x14ac:dyDescent="0.25">
      <c r="A43" t="s">
        <v>289</v>
      </c>
      <c r="B43" s="20">
        <v>44803</v>
      </c>
      <c r="C43" t="s">
        <v>175</v>
      </c>
      <c r="D43" s="4">
        <v>36338</v>
      </c>
      <c r="E43" t="s">
        <v>27</v>
      </c>
      <c r="F43">
        <v>1</v>
      </c>
      <c r="G43" t="s">
        <v>23</v>
      </c>
      <c r="H43">
        <v>1</v>
      </c>
      <c r="I43">
        <v>69.099999999999994</v>
      </c>
      <c r="J43">
        <v>30.9</v>
      </c>
      <c r="K43">
        <v>14</v>
      </c>
      <c r="L43">
        <v>7</v>
      </c>
      <c r="M43">
        <v>5</v>
      </c>
      <c r="N43">
        <v>2</v>
      </c>
      <c r="O43">
        <v>8</v>
      </c>
      <c r="P43">
        <v>2</v>
      </c>
      <c r="Q43">
        <v>1</v>
      </c>
      <c r="R43">
        <v>3</v>
      </c>
      <c r="S43">
        <v>83.1</v>
      </c>
      <c r="T43">
        <v>69.5</v>
      </c>
      <c r="U43">
        <v>1</v>
      </c>
      <c r="V43">
        <v>3</v>
      </c>
      <c r="W43">
        <v>52</v>
      </c>
      <c r="X43">
        <v>46.4</v>
      </c>
      <c r="Y43">
        <v>66.7</v>
      </c>
      <c r="Z43">
        <v>33.299999999999997</v>
      </c>
      <c r="AA43" s="17">
        <f t="shared" si="0"/>
        <v>33338</v>
      </c>
      <c r="AB43">
        <f t="shared" si="1"/>
        <v>35220</v>
      </c>
      <c r="AC43" s="18">
        <f t="shared" si="2"/>
        <v>94</v>
      </c>
      <c r="AD43" s="22">
        <f t="shared" si="3"/>
        <v>94</v>
      </c>
    </row>
    <row r="44" spans="1:30" x14ac:dyDescent="0.25">
      <c r="A44" t="s">
        <v>288</v>
      </c>
      <c r="B44" s="20">
        <v>44804</v>
      </c>
      <c r="C44" t="s">
        <v>188</v>
      </c>
      <c r="D44" s="4">
        <v>10113</v>
      </c>
      <c r="E44" t="s">
        <v>57</v>
      </c>
      <c r="F44">
        <v>0</v>
      </c>
      <c r="G44" t="s">
        <v>173</v>
      </c>
      <c r="H44">
        <v>0</v>
      </c>
      <c r="I44">
        <v>34.1</v>
      </c>
      <c r="J44">
        <v>65.900000000000006</v>
      </c>
      <c r="K44">
        <v>5</v>
      </c>
      <c r="L44">
        <v>17</v>
      </c>
      <c r="M44">
        <v>2</v>
      </c>
      <c r="N44">
        <v>4</v>
      </c>
      <c r="O44">
        <v>2</v>
      </c>
      <c r="P44">
        <v>9</v>
      </c>
      <c r="Q44">
        <v>1</v>
      </c>
      <c r="R44">
        <v>4</v>
      </c>
      <c r="S44">
        <v>74.400000000000006</v>
      </c>
      <c r="T44">
        <v>89.2</v>
      </c>
      <c r="U44">
        <v>0</v>
      </c>
      <c r="V44">
        <v>2</v>
      </c>
      <c r="W44">
        <v>83.3</v>
      </c>
      <c r="X44">
        <v>42.3</v>
      </c>
      <c r="Y44">
        <v>46.2</v>
      </c>
      <c r="Z44">
        <v>53.8</v>
      </c>
      <c r="AA44" s="17">
        <f t="shared" si="0"/>
        <v>7113</v>
      </c>
      <c r="AB44">
        <f t="shared" si="1"/>
        <v>9879</v>
      </c>
      <c r="AC44" s="18">
        <f t="shared" si="2"/>
        <v>72</v>
      </c>
      <c r="AD44" s="22">
        <f t="shared" si="3"/>
        <v>72</v>
      </c>
    </row>
    <row r="45" spans="1:30" x14ac:dyDescent="0.25">
      <c r="A45" t="s">
        <v>288</v>
      </c>
      <c r="B45" s="20">
        <v>44804</v>
      </c>
      <c r="C45" t="s">
        <v>146</v>
      </c>
      <c r="D45" s="4">
        <v>53316</v>
      </c>
      <c r="E45" t="s">
        <v>17</v>
      </c>
      <c r="F45">
        <v>2</v>
      </c>
      <c r="G45" t="s">
        <v>128</v>
      </c>
      <c r="H45">
        <v>1</v>
      </c>
      <c r="I45">
        <v>71.8</v>
      </c>
      <c r="J45">
        <v>28.2</v>
      </c>
      <c r="K45">
        <v>23</v>
      </c>
      <c r="L45">
        <v>5</v>
      </c>
      <c r="M45">
        <v>6</v>
      </c>
      <c r="N45">
        <v>2</v>
      </c>
      <c r="O45">
        <v>8</v>
      </c>
      <c r="P45">
        <v>3</v>
      </c>
      <c r="Q45">
        <v>9</v>
      </c>
      <c r="R45">
        <v>0</v>
      </c>
      <c r="S45">
        <v>83.7</v>
      </c>
      <c r="T45">
        <v>63.7</v>
      </c>
      <c r="U45">
        <v>1</v>
      </c>
      <c r="V45">
        <v>1</v>
      </c>
      <c r="W45">
        <v>71.400000000000006</v>
      </c>
      <c r="X45">
        <v>39.1</v>
      </c>
      <c r="Y45">
        <v>40.5</v>
      </c>
      <c r="Z45">
        <v>59.5</v>
      </c>
      <c r="AA45" s="17">
        <f t="shared" si="0"/>
        <v>50316</v>
      </c>
      <c r="AB45">
        <f t="shared" si="1"/>
        <v>58000</v>
      </c>
      <c r="AC45" s="18">
        <f t="shared" si="2"/>
        <v>86</v>
      </c>
      <c r="AD45" s="22">
        <f t="shared" si="3"/>
        <v>86</v>
      </c>
    </row>
    <row r="46" spans="1:30" x14ac:dyDescent="0.25">
      <c r="A46" t="s">
        <v>288</v>
      </c>
      <c r="B46" s="20">
        <v>44804</v>
      </c>
      <c r="C46" t="s">
        <v>184</v>
      </c>
      <c r="D46" s="4">
        <v>62450</v>
      </c>
      <c r="E46" t="s">
        <v>130</v>
      </c>
      <c r="F46">
        <v>1</v>
      </c>
      <c r="G46" t="s">
        <v>129</v>
      </c>
      <c r="H46">
        <v>1</v>
      </c>
      <c r="I46">
        <v>38.299999999999997</v>
      </c>
      <c r="J46">
        <v>61.7</v>
      </c>
      <c r="K46">
        <v>14</v>
      </c>
      <c r="L46">
        <v>12</v>
      </c>
      <c r="M46">
        <v>4</v>
      </c>
      <c r="N46">
        <v>3</v>
      </c>
      <c r="O46">
        <v>8</v>
      </c>
      <c r="P46">
        <v>2</v>
      </c>
      <c r="Q46">
        <v>2</v>
      </c>
      <c r="R46">
        <v>7</v>
      </c>
      <c r="S46">
        <v>83.2</v>
      </c>
      <c r="T46">
        <v>89.4</v>
      </c>
      <c r="U46">
        <v>2</v>
      </c>
      <c r="V46">
        <v>0</v>
      </c>
      <c r="W46">
        <v>69.2</v>
      </c>
      <c r="X46">
        <v>42.9</v>
      </c>
      <c r="Y46">
        <v>64.3</v>
      </c>
      <c r="Z46">
        <v>35.700000000000003</v>
      </c>
      <c r="AA46" s="17">
        <f t="shared" si="0"/>
        <v>59450</v>
      </c>
      <c r="AB46">
        <f t="shared" si="1"/>
        <v>65013</v>
      </c>
      <c r="AC46" s="18">
        <f t="shared" si="2"/>
        <v>91</v>
      </c>
      <c r="AD46" s="22">
        <f t="shared" si="3"/>
        <v>91</v>
      </c>
    </row>
    <row r="47" spans="1:30" x14ac:dyDescent="0.25">
      <c r="A47" t="s">
        <v>288</v>
      </c>
      <c r="B47" s="20">
        <v>44804</v>
      </c>
      <c r="C47" t="s">
        <v>172</v>
      </c>
      <c r="D47" s="4">
        <v>60012</v>
      </c>
      <c r="E47" t="s">
        <v>20</v>
      </c>
      <c r="F47">
        <v>2</v>
      </c>
      <c r="G47" t="s">
        <v>12</v>
      </c>
      <c r="H47">
        <v>1</v>
      </c>
      <c r="I47">
        <v>58.9</v>
      </c>
      <c r="J47">
        <v>41.1</v>
      </c>
      <c r="K47">
        <v>22</v>
      </c>
      <c r="L47">
        <v>4</v>
      </c>
      <c r="M47">
        <v>9</v>
      </c>
      <c r="N47">
        <v>3</v>
      </c>
      <c r="O47">
        <v>6</v>
      </c>
      <c r="P47">
        <v>1</v>
      </c>
      <c r="Q47">
        <v>7</v>
      </c>
      <c r="R47">
        <v>0</v>
      </c>
      <c r="S47">
        <v>84.9</v>
      </c>
      <c r="T47">
        <v>77</v>
      </c>
      <c r="U47">
        <v>2</v>
      </c>
      <c r="V47">
        <v>0</v>
      </c>
      <c r="W47">
        <v>70</v>
      </c>
      <c r="X47">
        <v>37.5</v>
      </c>
      <c r="Y47">
        <v>52.4</v>
      </c>
      <c r="Z47">
        <v>47.6</v>
      </c>
      <c r="AA47" s="17">
        <f t="shared" si="0"/>
        <v>57012</v>
      </c>
      <c r="AB47">
        <f t="shared" si="1"/>
        <v>57704</v>
      </c>
      <c r="AC47" s="18">
        <f t="shared" si="2"/>
        <v>98</v>
      </c>
      <c r="AD47" s="22">
        <f t="shared" si="3"/>
        <v>98</v>
      </c>
    </row>
    <row r="48" spans="1:30" x14ac:dyDescent="0.25">
      <c r="A48" t="s">
        <v>288</v>
      </c>
      <c r="B48" s="20">
        <v>44804</v>
      </c>
      <c r="C48" t="s">
        <v>185</v>
      </c>
      <c r="D48" s="4">
        <v>53409</v>
      </c>
      <c r="E48" t="s">
        <v>19</v>
      </c>
      <c r="F48">
        <v>6</v>
      </c>
      <c r="G48" t="s">
        <v>123</v>
      </c>
      <c r="H48">
        <v>0</v>
      </c>
      <c r="I48">
        <v>74.900000000000006</v>
      </c>
      <c r="J48">
        <v>25.1</v>
      </c>
      <c r="K48">
        <v>17</v>
      </c>
      <c r="L48">
        <v>8</v>
      </c>
      <c r="M48">
        <v>9</v>
      </c>
      <c r="N48">
        <v>1</v>
      </c>
      <c r="O48">
        <v>6</v>
      </c>
      <c r="P48">
        <v>4</v>
      </c>
      <c r="Q48">
        <v>2</v>
      </c>
      <c r="R48">
        <v>3</v>
      </c>
      <c r="S48">
        <v>91.7</v>
      </c>
      <c r="T48">
        <v>73.599999999999994</v>
      </c>
      <c r="U48">
        <v>4</v>
      </c>
      <c r="V48">
        <v>2</v>
      </c>
      <c r="W48">
        <v>84.6</v>
      </c>
      <c r="X48">
        <v>57.1</v>
      </c>
      <c r="Y48">
        <v>68</v>
      </c>
      <c r="Z48">
        <v>32</v>
      </c>
      <c r="AA48" s="17">
        <f t="shared" si="0"/>
        <v>50409</v>
      </c>
      <c r="AB48">
        <f t="shared" si="1"/>
        <v>50400</v>
      </c>
      <c r="AC48" s="18">
        <f t="shared" si="2"/>
        <v>100</v>
      </c>
      <c r="AD48" s="22">
        <f t="shared" si="3"/>
        <v>100</v>
      </c>
    </row>
    <row r="49" spans="1:30" x14ac:dyDescent="0.25">
      <c r="A49" t="s">
        <v>287</v>
      </c>
      <c r="B49" s="20">
        <v>44805</v>
      </c>
      <c r="C49" t="s">
        <v>176</v>
      </c>
      <c r="D49" s="4">
        <v>32226</v>
      </c>
      <c r="E49" t="s">
        <v>36</v>
      </c>
      <c r="F49">
        <v>0</v>
      </c>
      <c r="G49" t="s">
        <v>127</v>
      </c>
      <c r="H49">
        <v>1</v>
      </c>
      <c r="I49">
        <v>53.9</v>
      </c>
      <c r="J49">
        <v>46.1</v>
      </c>
      <c r="K49">
        <v>10</v>
      </c>
      <c r="L49">
        <v>9</v>
      </c>
      <c r="M49">
        <v>2</v>
      </c>
      <c r="N49">
        <v>2</v>
      </c>
      <c r="O49">
        <v>5</v>
      </c>
      <c r="P49">
        <v>5</v>
      </c>
      <c r="Q49">
        <v>3</v>
      </c>
      <c r="R49">
        <v>2</v>
      </c>
      <c r="S49">
        <v>81.8</v>
      </c>
      <c r="T49">
        <v>78</v>
      </c>
      <c r="U49">
        <v>1</v>
      </c>
      <c r="V49">
        <v>1</v>
      </c>
      <c r="W49">
        <v>61.9</v>
      </c>
      <c r="X49">
        <v>53.3</v>
      </c>
      <c r="Y49">
        <v>52.9</v>
      </c>
      <c r="Z49">
        <v>47.1</v>
      </c>
      <c r="AA49" s="17">
        <f t="shared" si="0"/>
        <v>29226</v>
      </c>
      <c r="AB49">
        <f t="shared" si="1"/>
        <v>29261</v>
      </c>
      <c r="AC49" s="18">
        <f t="shared" si="2"/>
        <v>99</v>
      </c>
      <c r="AD49" s="22">
        <f t="shared" si="3"/>
        <v>99</v>
      </c>
    </row>
    <row r="50" spans="1:30" x14ac:dyDescent="0.25">
      <c r="A50" t="s">
        <v>286</v>
      </c>
      <c r="B50" s="20">
        <v>44807</v>
      </c>
      <c r="C50" t="s">
        <v>189</v>
      </c>
      <c r="D50" s="4">
        <v>28720</v>
      </c>
      <c r="E50" t="s">
        <v>123</v>
      </c>
      <c r="F50">
        <v>2</v>
      </c>
      <c r="G50" t="s">
        <v>57</v>
      </c>
      <c r="H50">
        <v>3</v>
      </c>
      <c r="I50">
        <v>52.7</v>
      </c>
      <c r="J50">
        <v>47.3</v>
      </c>
      <c r="K50">
        <v>11</v>
      </c>
      <c r="L50">
        <v>8</v>
      </c>
      <c r="M50">
        <v>3</v>
      </c>
      <c r="N50">
        <v>3</v>
      </c>
      <c r="O50">
        <v>3</v>
      </c>
      <c r="P50">
        <v>2</v>
      </c>
      <c r="Q50">
        <v>5</v>
      </c>
      <c r="R50">
        <v>3</v>
      </c>
      <c r="S50">
        <v>82.7</v>
      </c>
      <c r="T50">
        <v>81.2</v>
      </c>
      <c r="U50">
        <v>0</v>
      </c>
      <c r="V50">
        <v>1</v>
      </c>
      <c r="W50">
        <v>53.8</v>
      </c>
      <c r="X50">
        <v>66.7</v>
      </c>
      <c r="Y50">
        <v>50</v>
      </c>
      <c r="Z50">
        <v>50</v>
      </c>
      <c r="AA50" s="17">
        <f t="shared" si="0"/>
        <v>25720</v>
      </c>
      <c r="AB50">
        <f t="shared" si="1"/>
        <v>27445</v>
      </c>
      <c r="AC50" s="18">
        <f t="shared" si="2"/>
        <v>93</v>
      </c>
      <c r="AD50" s="22">
        <f t="shared" si="3"/>
        <v>93</v>
      </c>
    </row>
    <row r="51" spans="1:30" x14ac:dyDescent="0.25">
      <c r="A51" t="s">
        <v>286</v>
      </c>
      <c r="B51" s="20">
        <v>44807</v>
      </c>
      <c r="C51" t="s">
        <v>152</v>
      </c>
      <c r="D51" s="4">
        <v>30546</v>
      </c>
      <c r="E51" t="s">
        <v>173</v>
      </c>
      <c r="F51">
        <v>1</v>
      </c>
      <c r="G51" t="s">
        <v>28</v>
      </c>
      <c r="H51">
        <v>0</v>
      </c>
      <c r="I51">
        <v>50.8</v>
      </c>
      <c r="J51">
        <v>49.2</v>
      </c>
      <c r="K51">
        <v>7</v>
      </c>
      <c r="L51">
        <v>12</v>
      </c>
      <c r="M51">
        <v>2</v>
      </c>
      <c r="N51">
        <v>1</v>
      </c>
      <c r="O51">
        <v>4</v>
      </c>
      <c r="P51">
        <v>7</v>
      </c>
      <c r="Q51">
        <v>1</v>
      </c>
      <c r="R51">
        <v>4</v>
      </c>
      <c r="S51">
        <v>80.8</v>
      </c>
      <c r="T51">
        <v>78.099999999999994</v>
      </c>
      <c r="U51">
        <v>2</v>
      </c>
      <c r="V51">
        <v>1</v>
      </c>
      <c r="W51">
        <v>64.3</v>
      </c>
      <c r="X51">
        <v>60</v>
      </c>
      <c r="Y51">
        <v>58.3</v>
      </c>
      <c r="Z51">
        <v>41.7</v>
      </c>
      <c r="AA51" s="17">
        <f t="shared" si="0"/>
        <v>27546</v>
      </c>
      <c r="AB51">
        <f t="shared" si="1"/>
        <v>29050</v>
      </c>
      <c r="AC51" s="18">
        <f t="shared" si="2"/>
        <v>94</v>
      </c>
      <c r="AD51" s="22">
        <f t="shared" si="3"/>
        <v>94</v>
      </c>
    </row>
    <row r="52" spans="1:30" x14ac:dyDescent="0.25">
      <c r="A52" t="s">
        <v>286</v>
      </c>
      <c r="B52" s="20">
        <v>44807</v>
      </c>
      <c r="C52" t="s">
        <v>187</v>
      </c>
      <c r="D52" s="4">
        <v>61641</v>
      </c>
      <c r="E52" t="s">
        <v>129</v>
      </c>
      <c r="F52">
        <v>2</v>
      </c>
      <c r="G52" t="s">
        <v>44</v>
      </c>
      <c r="H52">
        <v>1</v>
      </c>
      <c r="I52">
        <v>51.9</v>
      </c>
      <c r="J52">
        <v>48.1</v>
      </c>
      <c r="K52">
        <v>23</v>
      </c>
      <c r="L52">
        <v>9</v>
      </c>
      <c r="M52">
        <v>10</v>
      </c>
      <c r="N52">
        <v>3</v>
      </c>
      <c r="O52">
        <v>7</v>
      </c>
      <c r="P52">
        <v>5</v>
      </c>
      <c r="Q52">
        <v>6</v>
      </c>
      <c r="R52">
        <v>1</v>
      </c>
      <c r="S52">
        <v>88</v>
      </c>
      <c r="T52">
        <v>85.7</v>
      </c>
      <c r="U52">
        <v>1</v>
      </c>
      <c r="V52">
        <v>0</v>
      </c>
      <c r="W52">
        <v>47.4</v>
      </c>
      <c r="X52">
        <v>61.1</v>
      </c>
      <c r="Y52">
        <v>60.7</v>
      </c>
      <c r="Z52">
        <v>39.299999999999997</v>
      </c>
      <c r="AA52" s="17">
        <f t="shared" si="0"/>
        <v>58641</v>
      </c>
      <c r="AB52">
        <f t="shared" si="1"/>
        <v>59850</v>
      </c>
      <c r="AC52" s="18">
        <f t="shared" si="2"/>
        <v>97</v>
      </c>
      <c r="AD52" s="22">
        <f t="shared" si="3"/>
        <v>97</v>
      </c>
    </row>
    <row r="53" spans="1:30" x14ac:dyDescent="0.25">
      <c r="A53" t="s">
        <v>286</v>
      </c>
      <c r="B53" s="20">
        <v>44807</v>
      </c>
      <c r="C53" t="s">
        <v>142</v>
      </c>
      <c r="D53" s="4">
        <v>39923</v>
      </c>
      <c r="E53" t="s">
        <v>21</v>
      </c>
      <c r="F53">
        <v>2</v>
      </c>
      <c r="G53" t="s">
        <v>130</v>
      </c>
      <c r="H53">
        <v>1</v>
      </c>
      <c r="I53">
        <v>68.099999999999994</v>
      </c>
      <c r="J53">
        <v>31.9</v>
      </c>
      <c r="K53">
        <v>8</v>
      </c>
      <c r="L53">
        <v>6</v>
      </c>
      <c r="M53">
        <v>3</v>
      </c>
      <c r="N53">
        <v>3</v>
      </c>
      <c r="O53">
        <v>2</v>
      </c>
      <c r="P53">
        <v>2</v>
      </c>
      <c r="Q53">
        <v>3</v>
      </c>
      <c r="R53">
        <v>1</v>
      </c>
      <c r="S53">
        <v>87.3</v>
      </c>
      <c r="T53">
        <v>75.3</v>
      </c>
      <c r="U53">
        <v>2</v>
      </c>
      <c r="V53">
        <v>2</v>
      </c>
      <c r="W53">
        <v>68.8</v>
      </c>
      <c r="X53">
        <v>64.3</v>
      </c>
      <c r="Y53">
        <v>50</v>
      </c>
      <c r="Z53">
        <v>50</v>
      </c>
      <c r="AA53" s="17">
        <f t="shared" si="0"/>
        <v>36923</v>
      </c>
      <c r="AB53">
        <f t="shared" si="1"/>
        <v>37343</v>
      </c>
      <c r="AC53" s="18">
        <f t="shared" si="2"/>
        <v>98</v>
      </c>
      <c r="AD53" s="22">
        <f t="shared" si="3"/>
        <v>98</v>
      </c>
    </row>
    <row r="54" spans="1:30" x14ac:dyDescent="0.25">
      <c r="A54" t="s">
        <v>286</v>
      </c>
      <c r="B54" s="20">
        <v>44807</v>
      </c>
      <c r="C54" t="s">
        <v>144</v>
      </c>
      <c r="D54" s="4">
        <v>39240</v>
      </c>
      <c r="E54" t="s">
        <v>23</v>
      </c>
      <c r="F54">
        <v>0</v>
      </c>
      <c r="G54" t="s">
        <v>17</v>
      </c>
      <c r="H54">
        <v>0</v>
      </c>
      <c r="I54">
        <v>39.1</v>
      </c>
      <c r="J54">
        <v>60.9</v>
      </c>
      <c r="K54">
        <v>14</v>
      </c>
      <c r="L54">
        <v>23</v>
      </c>
      <c r="M54">
        <v>3</v>
      </c>
      <c r="N54">
        <v>8</v>
      </c>
      <c r="O54">
        <v>6</v>
      </c>
      <c r="P54">
        <v>9</v>
      </c>
      <c r="Q54">
        <v>5</v>
      </c>
      <c r="R54">
        <v>6</v>
      </c>
      <c r="S54">
        <v>71.900000000000006</v>
      </c>
      <c r="T54">
        <v>81</v>
      </c>
      <c r="U54">
        <v>1</v>
      </c>
      <c r="V54">
        <v>0</v>
      </c>
      <c r="W54">
        <v>57.9</v>
      </c>
      <c r="X54">
        <v>80</v>
      </c>
      <c r="Y54">
        <v>39.1</v>
      </c>
      <c r="Z54">
        <v>60.9</v>
      </c>
      <c r="AA54" s="17">
        <f t="shared" si="0"/>
        <v>36240</v>
      </c>
      <c r="AB54">
        <f t="shared" si="1"/>
        <v>36572</v>
      </c>
      <c r="AC54" s="18">
        <f t="shared" si="2"/>
        <v>99</v>
      </c>
      <c r="AD54" s="22">
        <f t="shared" si="3"/>
        <v>99</v>
      </c>
    </row>
    <row r="55" spans="1:30" x14ac:dyDescent="0.25">
      <c r="A55" t="s">
        <v>286</v>
      </c>
      <c r="B55" s="20">
        <v>44807</v>
      </c>
      <c r="C55" t="s">
        <v>182</v>
      </c>
      <c r="D55" s="4">
        <v>51863</v>
      </c>
      <c r="E55" t="s">
        <v>128</v>
      </c>
      <c r="F55">
        <v>0</v>
      </c>
      <c r="G55" t="s">
        <v>29</v>
      </c>
      <c r="H55">
        <v>0</v>
      </c>
      <c r="I55">
        <v>51.7</v>
      </c>
      <c r="J55">
        <v>48.3</v>
      </c>
      <c r="K55">
        <v>23</v>
      </c>
      <c r="L55">
        <v>19</v>
      </c>
      <c r="M55">
        <v>6</v>
      </c>
      <c r="N55">
        <v>9</v>
      </c>
      <c r="O55">
        <v>7</v>
      </c>
      <c r="P55">
        <v>4</v>
      </c>
      <c r="Q55">
        <v>10</v>
      </c>
      <c r="R55">
        <v>6</v>
      </c>
      <c r="S55">
        <v>78.8</v>
      </c>
      <c r="T55">
        <v>77.900000000000006</v>
      </c>
      <c r="U55">
        <v>3</v>
      </c>
      <c r="V55">
        <v>0</v>
      </c>
      <c r="W55">
        <v>61.1</v>
      </c>
      <c r="X55">
        <v>73.900000000000006</v>
      </c>
      <c r="Y55">
        <v>50</v>
      </c>
      <c r="Z55">
        <v>50</v>
      </c>
      <c r="AA55" s="17">
        <f t="shared" si="0"/>
        <v>48863</v>
      </c>
      <c r="AB55">
        <f t="shared" si="1"/>
        <v>49350</v>
      </c>
      <c r="AC55" s="18">
        <f t="shared" si="2"/>
        <v>99</v>
      </c>
      <c r="AD55" s="22">
        <f t="shared" si="3"/>
        <v>99</v>
      </c>
    </row>
    <row r="56" spans="1:30" x14ac:dyDescent="0.25">
      <c r="A56" t="s">
        <v>286</v>
      </c>
      <c r="B56" s="20">
        <v>44807</v>
      </c>
      <c r="C56" t="s">
        <v>138</v>
      </c>
      <c r="D56" s="4">
        <v>41830</v>
      </c>
      <c r="E56" t="s">
        <v>12</v>
      </c>
      <c r="F56">
        <v>1</v>
      </c>
      <c r="G56" t="s">
        <v>19</v>
      </c>
      <c r="H56">
        <v>1</v>
      </c>
      <c r="I56">
        <v>27.7</v>
      </c>
      <c r="J56">
        <v>72.3</v>
      </c>
      <c r="K56">
        <v>3</v>
      </c>
      <c r="L56">
        <v>13</v>
      </c>
      <c r="M56">
        <v>1</v>
      </c>
      <c r="N56">
        <v>4</v>
      </c>
      <c r="O56">
        <v>1</v>
      </c>
      <c r="P56">
        <v>5</v>
      </c>
      <c r="Q56">
        <v>1</v>
      </c>
      <c r="R56">
        <v>4</v>
      </c>
      <c r="S56">
        <v>70.7</v>
      </c>
      <c r="T56">
        <v>88.2</v>
      </c>
      <c r="U56">
        <v>0</v>
      </c>
      <c r="V56">
        <v>4</v>
      </c>
      <c r="W56">
        <v>60</v>
      </c>
      <c r="X56">
        <v>38.5</v>
      </c>
      <c r="Y56">
        <v>32.5</v>
      </c>
      <c r="Z56">
        <v>67.5</v>
      </c>
      <c r="AA56" s="17">
        <f t="shared" si="0"/>
        <v>38830</v>
      </c>
      <c r="AB56">
        <f t="shared" si="1"/>
        <v>39000</v>
      </c>
      <c r="AC56" s="18">
        <f t="shared" si="2"/>
        <v>99</v>
      </c>
      <c r="AD56" s="22">
        <f t="shared" si="3"/>
        <v>99</v>
      </c>
    </row>
    <row r="57" spans="1:30" x14ac:dyDescent="0.25">
      <c r="A57" t="s">
        <v>285</v>
      </c>
      <c r="B57" s="20">
        <v>44808</v>
      </c>
      <c r="C57" t="s">
        <v>180</v>
      </c>
      <c r="D57" s="4">
        <v>31185</v>
      </c>
      <c r="E57" t="s">
        <v>126</v>
      </c>
      <c r="F57">
        <v>5</v>
      </c>
      <c r="G57" t="s">
        <v>36</v>
      </c>
      <c r="H57">
        <v>2</v>
      </c>
      <c r="I57">
        <v>53.5</v>
      </c>
      <c r="J57">
        <v>46.5</v>
      </c>
      <c r="K57">
        <v>23</v>
      </c>
      <c r="L57">
        <v>6</v>
      </c>
      <c r="M57">
        <v>11</v>
      </c>
      <c r="N57">
        <v>4</v>
      </c>
      <c r="O57">
        <v>5</v>
      </c>
      <c r="P57">
        <v>1</v>
      </c>
      <c r="Q57">
        <v>7</v>
      </c>
      <c r="R57">
        <v>1</v>
      </c>
      <c r="S57">
        <v>85.4</v>
      </c>
      <c r="T57">
        <v>82.6</v>
      </c>
      <c r="U57">
        <v>3</v>
      </c>
      <c r="V57">
        <v>2</v>
      </c>
      <c r="W57">
        <v>70.599999999999994</v>
      </c>
      <c r="X57">
        <v>61.5</v>
      </c>
      <c r="Y57">
        <v>47.6</v>
      </c>
      <c r="Z57">
        <v>52.4</v>
      </c>
      <c r="AA57" s="17">
        <f t="shared" si="0"/>
        <v>28185</v>
      </c>
      <c r="AB57">
        <f t="shared" si="1"/>
        <v>28876</v>
      </c>
      <c r="AC57" s="18">
        <f t="shared" si="2"/>
        <v>97</v>
      </c>
      <c r="AD57" s="22">
        <f t="shared" si="3"/>
        <v>97</v>
      </c>
    </row>
    <row r="58" spans="1:30" x14ac:dyDescent="0.25">
      <c r="A58" t="s">
        <v>285</v>
      </c>
      <c r="B58" s="20">
        <v>44808</v>
      </c>
      <c r="C58" t="s">
        <v>148</v>
      </c>
      <c r="D58" s="4">
        <v>73431</v>
      </c>
      <c r="E58" t="s">
        <v>127</v>
      </c>
      <c r="F58">
        <v>3</v>
      </c>
      <c r="G58" t="s">
        <v>20</v>
      </c>
      <c r="H58">
        <v>1</v>
      </c>
      <c r="I58">
        <v>39.5</v>
      </c>
      <c r="J58">
        <v>60.5</v>
      </c>
      <c r="K58">
        <v>10</v>
      </c>
      <c r="L58">
        <v>16</v>
      </c>
      <c r="M58">
        <v>6</v>
      </c>
      <c r="N58">
        <v>3</v>
      </c>
      <c r="O58">
        <v>3</v>
      </c>
      <c r="P58">
        <v>8</v>
      </c>
      <c r="Q58">
        <v>1</v>
      </c>
      <c r="R58">
        <v>5</v>
      </c>
      <c r="S58">
        <v>78.099999999999994</v>
      </c>
      <c r="T58">
        <v>83.4</v>
      </c>
      <c r="U58">
        <v>4</v>
      </c>
      <c r="V58">
        <v>2</v>
      </c>
      <c r="W58">
        <v>47.1</v>
      </c>
      <c r="X58">
        <v>57.1</v>
      </c>
      <c r="Y58">
        <v>76.900000000000006</v>
      </c>
      <c r="Z58">
        <v>23.1</v>
      </c>
      <c r="AA58" s="17">
        <f t="shared" si="0"/>
        <v>70431</v>
      </c>
      <c r="AB58">
        <f t="shared" si="1"/>
        <v>71310</v>
      </c>
      <c r="AC58" s="18">
        <f t="shared" si="2"/>
        <v>98</v>
      </c>
      <c r="AD58" s="22">
        <f t="shared" si="3"/>
        <v>98</v>
      </c>
    </row>
    <row r="59" spans="1:30" x14ac:dyDescent="0.25">
      <c r="A59" t="s">
        <v>284</v>
      </c>
      <c r="B59" s="20">
        <v>44820</v>
      </c>
      <c r="C59" t="s">
        <v>189</v>
      </c>
      <c r="D59" s="4">
        <v>28654</v>
      </c>
      <c r="E59" t="s">
        <v>123</v>
      </c>
      <c r="F59">
        <v>2</v>
      </c>
      <c r="G59" t="s">
        <v>44</v>
      </c>
      <c r="H59">
        <v>3</v>
      </c>
      <c r="I59">
        <v>40.799999999999997</v>
      </c>
      <c r="J59">
        <v>59.2</v>
      </c>
      <c r="K59">
        <v>11</v>
      </c>
      <c r="L59">
        <v>15</v>
      </c>
      <c r="M59">
        <v>3</v>
      </c>
      <c r="N59">
        <v>7</v>
      </c>
      <c r="O59">
        <v>5</v>
      </c>
      <c r="P59">
        <v>3</v>
      </c>
      <c r="Q59">
        <v>3</v>
      </c>
      <c r="R59">
        <v>5</v>
      </c>
      <c r="S59">
        <v>74.400000000000006</v>
      </c>
      <c r="T59">
        <v>82.9</v>
      </c>
      <c r="U59">
        <v>2</v>
      </c>
      <c r="V59">
        <v>2</v>
      </c>
      <c r="W59">
        <v>30</v>
      </c>
      <c r="X59">
        <v>41.7</v>
      </c>
      <c r="Y59">
        <v>55.9</v>
      </c>
      <c r="Z59">
        <v>44.1</v>
      </c>
      <c r="AA59" s="17">
        <f t="shared" si="0"/>
        <v>25654</v>
      </c>
      <c r="AB59">
        <f t="shared" si="1"/>
        <v>27445</v>
      </c>
      <c r="AC59" s="18">
        <f t="shared" si="2"/>
        <v>93</v>
      </c>
      <c r="AD59" s="22">
        <f t="shared" si="3"/>
        <v>93</v>
      </c>
    </row>
    <row r="60" spans="1:30" x14ac:dyDescent="0.25">
      <c r="A60" t="s">
        <v>284</v>
      </c>
      <c r="B60" s="20">
        <v>44820</v>
      </c>
      <c r="C60" t="s">
        <v>138</v>
      </c>
      <c r="D60" s="4">
        <v>40758</v>
      </c>
      <c r="E60" t="s">
        <v>12</v>
      </c>
      <c r="F60">
        <v>1</v>
      </c>
      <c r="G60" t="s">
        <v>28</v>
      </c>
      <c r="H60">
        <v>0</v>
      </c>
      <c r="I60">
        <v>52.7</v>
      </c>
      <c r="J60">
        <v>47.3</v>
      </c>
      <c r="K60">
        <v>11</v>
      </c>
      <c r="L60">
        <v>7</v>
      </c>
      <c r="M60">
        <v>3</v>
      </c>
      <c r="N60">
        <v>1</v>
      </c>
      <c r="O60">
        <v>3</v>
      </c>
      <c r="P60">
        <v>3</v>
      </c>
      <c r="Q60">
        <v>5</v>
      </c>
      <c r="R60">
        <v>3</v>
      </c>
      <c r="S60">
        <v>74.3</v>
      </c>
      <c r="T60">
        <v>73.7</v>
      </c>
      <c r="U60">
        <v>1</v>
      </c>
      <c r="V60">
        <v>0</v>
      </c>
      <c r="W60">
        <v>54.3</v>
      </c>
      <c r="X60">
        <v>64.3</v>
      </c>
      <c r="Y60">
        <v>59.2</v>
      </c>
      <c r="Z60">
        <v>40.799999999999997</v>
      </c>
      <c r="AA60" s="17">
        <f t="shared" si="0"/>
        <v>37758</v>
      </c>
      <c r="AB60">
        <f t="shared" si="1"/>
        <v>39000</v>
      </c>
      <c r="AC60" s="18">
        <f t="shared" si="2"/>
        <v>96</v>
      </c>
      <c r="AD60" s="22">
        <f t="shared" si="3"/>
        <v>96</v>
      </c>
    </row>
    <row r="61" spans="1:30" x14ac:dyDescent="0.25">
      <c r="A61" t="s">
        <v>283</v>
      </c>
      <c r="B61" s="20">
        <v>44821</v>
      </c>
      <c r="C61" t="s">
        <v>187</v>
      </c>
      <c r="D61" s="4">
        <v>61450</v>
      </c>
      <c r="E61" t="s">
        <v>129</v>
      </c>
      <c r="F61">
        <v>6</v>
      </c>
      <c r="G61" t="s">
        <v>36</v>
      </c>
      <c r="H61">
        <v>2</v>
      </c>
      <c r="I61">
        <v>43.7</v>
      </c>
      <c r="J61">
        <v>56.3</v>
      </c>
      <c r="K61">
        <v>16</v>
      </c>
      <c r="L61">
        <v>19</v>
      </c>
      <c r="M61">
        <v>11</v>
      </c>
      <c r="N61">
        <v>7</v>
      </c>
      <c r="O61">
        <v>2</v>
      </c>
      <c r="P61">
        <v>7</v>
      </c>
      <c r="Q61">
        <v>3</v>
      </c>
      <c r="R61">
        <v>5</v>
      </c>
      <c r="S61">
        <v>83.6</v>
      </c>
      <c r="T61">
        <v>87.3</v>
      </c>
      <c r="U61">
        <v>2</v>
      </c>
      <c r="V61">
        <v>1</v>
      </c>
      <c r="W61">
        <v>28.6</v>
      </c>
      <c r="X61">
        <v>75</v>
      </c>
      <c r="Y61">
        <v>54.5</v>
      </c>
      <c r="Z61">
        <v>45.5</v>
      </c>
      <c r="AA61" s="17">
        <f t="shared" si="0"/>
        <v>58450</v>
      </c>
      <c r="AB61">
        <f t="shared" si="1"/>
        <v>59850</v>
      </c>
      <c r="AC61" s="18">
        <f t="shared" si="2"/>
        <v>97</v>
      </c>
      <c r="AD61" s="22">
        <f t="shared" si="3"/>
        <v>97</v>
      </c>
    </row>
    <row r="62" spans="1:30" x14ac:dyDescent="0.25">
      <c r="A62" t="s">
        <v>283</v>
      </c>
      <c r="B62" s="20">
        <v>44821</v>
      </c>
      <c r="C62" t="s">
        <v>152</v>
      </c>
      <c r="D62" s="4">
        <v>31578</v>
      </c>
      <c r="E62" t="s">
        <v>173</v>
      </c>
      <c r="F62">
        <v>0</v>
      </c>
      <c r="G62" t="s">
        <v>19</v>
      </c>
      <c r="H62">
        <v>3</v>
      </c>
      <c r="I62">
        <v>40.799999999999997</v>
      </c>
      <c r="J62">
        <v>59.2</v>
      </c>
      <c r="K62">
        <v>6</v>
      </c>
      <c r="L62">
        <v>16</v>
      </c>
      <c r="M62">
        <v>1</v>
      </c>
      <c r="N62">
        <v>7</v>
      </c>
      <c r="O62">
        <v>4</v>
      </c>
      <c r="P62">
        <v>5</v>
      </c>
      <c r="Q62">
        <v>1</v>
      </c>
      <c r="R62">
        <v>4</v>
      </c>
      <c r="S62">
        <v>83.6</v>
      </c>
      <c r="T62">
        <v>90.5</v>
      </c>
      <c r="U62">
        <v>0</v>
      </c>
      <c r="V62">
        <v>1</v>
      </c>
      <c r="W62">
        <v>57.9</v>
      </c>
      <c r="X62">
        <v>57.9</v>
      </c>
      <c r="Y62">
        <v>26.7</v>
      </c>
      <c r="Z62">
        <v>73.3</v>
      </c>
      <c r="AA62" s="17">
        <f t="shared" si="0"/>
        <v>28578</v>
      </c>
      <c r="AB62">
        <f t="shared" si="1"/>
        <v>29050</v>
      </c>
      <c r="AC62" s="18">
        <f t="shared" si="2"/>
        <v>98</v>
      </c>
      <c r="AD62" s="22">
        <f t="shared" si="3"/>
        <v>98</v>
      </c>
    </row>
    <row r="63" spans="1:30" x14ac:dyDescent="0.25">
      <c r="A63" t="s">
        <v>283</v>
      </c>
      <c r="B63" s="20">
        <v>44821</v>
      </c>
      <c r="C63" t="s">
        <v>182</v>
      </c>
      <c r="D63" s="4">
        <v>52238</v>
      </c>
      <c r="E63" t="s">
        <v>128</v>
      </c>
      <c r="F63">
        <v>1</v>
      </c>
      <c r="G63" t="s">
        <v>57</v>
      </c>
      <c r="H63">
        <v>1</v>
      </c>
      <c r="I63">
        <v>72.400000000000006</v>
      </c>
      <c r="J63">
        <v>27.6</v>
      </c>
      <c r="K63">
        <v>20</v>
      </c>
      <c r="L63">
        <v>10</v>
      </c>
      <c r="M63">
        <v>7</v>
      </c>
      <c r="N63">
        <v>3</v>
      </c>
      <c r="O63">
        <v>8</v>
      </c>
      <c r="P63">
        <v>5</v>
      </c>
      <c r="Q63">
        <v>5</v>
      </c>
      <c r="R63">
        <v>2</v>
      </c>
      <c r="S63">
        <v>86.5</v>
      </c>
      <c r="T63">
        <v>67.3</v>
      </c>
      <c r="U63">
        <v>0</v>
      </c>
      <c r="V63">
        <v>1</v>
      </c>
      <c r="W63">
        <v>75</v>
      </c>
      <c r="X63">
        <v>77.8</v>
      </c>
      <c r="Y63">
        <v>56</v>
      </c>
      <c r="Z63">
        <v>44</v>
      </c>
      <c r="AA63" s="17">
        <f t="shared" si="0"/>
        <v>49238</v>
      </c>
      <c r="AB63">
        <f t="shared" si="1"/>
        <v>49350</v>
      </c>
      <c r="AC63" s="18">
        <f t="shared" si="2"/>
        <v>99</v>
      </c>
      <c r="AD63" s="22">
        <f t="shared" si="3"/>
        <v>99</v>
      </c>
    </row>
    <row r="64" spans="1:30" x14ac:dyDescent="0.25">
      <c r="A64" t="s">
        <v>282</v>
      </c>
      <c r="B64" s="20">
        <v>44822</v>
      </c>
      <c r="C64" t="s">
        <v>174</v>
      </c>
      <c r="D64" s="4">
        <v>17122</v>
      </c>
      <c r="E64" t="s">
        <v>60</v>
      </c>
      <c r="F64">
        <v>0</v>
      </c>
      <c r="G64" t="s">
        <v>20</v>
      </c>
      <c r="H64">
        <v>3</v>
      </c>
      <c r="I64">
        <v>36.1</v>
      </c>
      <c r="J64">
        <v>63.9</v>
      </c>
      <c r="K64">
        <v>5</v>
      </c>
      <c r="L64">
        <v>13</v>
      </c>
      <c r="M64">
        <v>2</v>
      </c>
      <c r="N64">
        <v>7</v>
      </c>
      <c r="O64">
        <v>3</v>
      </c>
      <c r="P64">
        <v>4</v>
      </c>
      <c r="Q64">
        <v>0</v>
      </c>
      <c r="R64">
        <v>2</v>
      </c>
      <c r="S64">
        <v>74.099999999999994</v>
      </c>
      <c r="T64">
        <v>86</v>
      </c>
      <c r="U64">
        <v>1</v>
      </c>
      <c r="V64">
        <v>2</v>
      </c>
      <c r="W64">
        <v>61.9</v>
      </c>
      <c r="X64">
        <v>75</v>
      </c>
      <c r="Y64">
        <v>72.400000000000006</v>
      </c>
      <c r="Z64">
        <v>27.6</v>
      </c>
      <c r="AA64" s="17">
        <f t="shared" si="0"/>
        <v>14122</v>
      </c>
      <c r="AB64">
        <f t="shared" si="1"/>
        <v>15250</v>
      </c>
      <c r="AC64" s="18">
        <f t="shared" si="2"/>
        <v>92</v>
      </c>
      <c r="AD64" s="22">
        <f t="shared" si="3"/>
        <v>92</v>
      </c>
    </row>
    <row r="65" spans="1:30" x14ac:dyDescent="0.25">
      <c r="A65" t="s">
        <v>282</v>
      </c>
      <c r="B65" s="20">
        <v>44822</v>
      </c>
      <c r="C65" t="s">
        <v>144</v>
      </c>
      <c r="D65" s="4">
        <v>39298</v>
      </c>
      <c r="E65" t="s">
        <v>23</v>
      </c>
      <c r="F65">
        <v>1</v>
      </c>
      <c r="G65" t="s">
        <v>130</v>
      </c>
      <c r="H65">
        <v>0</v>
      </c>
      <c r="I65">
        <v>53.6</v>
      </c>
      <c r="J65">
        <v>46.4</v>
      </c>
      <c r="K65">
        <v>7</v>
      </c>
      <c r="L65">
        <v>14</v>
      </c>
      <c r="M65">
        <v>2</v>
      </c>
      <c r="N65">
        <v>4</v>
      </c>
      <c r="O65">
        <v>4</v>
      </c>
      <c r="P65">
        <v>3</v>
      </c>
      <c r="Q65">
        <v>1</v>
      </c>
      <c r="R65">
        <v>7</v>
      </c>
      <c r="S65">
        <v>83</v>
      </c>
      <c r="T65">
        <v>79.599999999999994</v>
      </c>
      <c r="U65">
        <v>0</v>
      </c>
      <c r="V65">
        <v>0</v>
      </c>
      <c r="W65">
        <v>61.1</v>
      </c>
      <c r="X65">
        <v>38.9</v>
      </c>
      <c r="Y65">
        <v>47.6</v>
      </c>
      <c r="Z65">
        <v>52.4</v>
      </c>
      <c r="AA65" s="17">
        <f t="shared" si="0"/>
        <v>36298</v>
      </c>
      <c r="AB65">
        <f t="shared" si="1"/>
        <v>36572</v>
      </c>
      <c r="AC65" s="18">
        <f t="shared" si="2"/>
        <v>99</v>
      </c>
      <c r="AD65" s="22">
        <f t="shared" si="3"/>
        <v>99</v>
      </c>
    </row>
    <row r="66" spans="1:30" x14ac:dyDescent="0.25">
      <c r="A66" t="s">
        <v>281</v>
      </c>
      <c r="B66" s="20">
        <v>44835</v>
      </c>
      <c r="C66" t="s">
        <v>188</v>
      </c>
      <c r="D66" s="4">
        <v>10126</v>
      </c>
      <c r="E66" t="s">
        <v>57</v>
      </c>
      <c r="F66">
        <v>0</v>
      </c>
      <c r="G66" t="s">
        <v>60</v>
      </c>
      <c r="H66">
        <v>0</v>
      </c>
      <c r="I66">
        <v>42</v>
      </c>
      <c r="J66">
        <v>58</v>
      </c>
      <c r="K66">
        <v>7</v>
      </c>
      <c r="L66">
        <v>13</v>
      </c>
      <c r="M66">
        <v>1</v>
      </c>
      <c r="N66">
        <v>4</v>
      </c>
      <c r="O66">
        <v>4</v>
      </c>
      <c r="P66">
        <v>5</v>
      </c>
      <c r="Q66">
        <v>2</v>
      </c>
      <c r="R66">
        <v>4</v>
      </c>
      <c r="S66">
        <v>79.2</v>
      </c>
      <c r="T66">
        <v>83</v>
      </c>
      <c r="U66">
        <v>1</v>
      </c>
      <c r="V66">
        <v>1</v>
      </c>
      <c r="W66">
        <v>57.1</v>
      </c>
      <c r="X66">
        <v>70</v>
      </c>
      <c r="Y66">
        <v>54.5</v>
      </c>
      <c r="Z66">
        <v>45.5</v>
      </c>
      <c r="AA66" s="17">
        <f t="shared" ref="AA66:AA129" si="5">D66-3000</f>
        <v>7126</v>
      </c>
      <c r="AB66">
        <f t="shared" ref="AB66:AB129" si="6">VLOOKUP(E66,$AJ$1:$AN$23,5,FALSE)</f>
        <v>9879</v>
      </c>
      <c r="AC66" s="18">
        <f t="shared" ref="AC66:AC129" si="7">TRUNC(100*AA66/AB66,0)</f>
        <v>72</v>
      </c>
      <c r="AD66" s="22">
        <f t="shared" ref="AD66:AD129" si="8">AC66</f>
        <v>72</v>
      </c>
    </row>
    <row r="67" spans="1:30" x14ac:dyDescent="0.25">
      <c r="A67" t="s">
        <v>281</v>
      </c>
      <c r="B67" s="20">
        <v>44835</v>
      </c>
      <c r="C67" t="s">
        <v>145</v>
      </c>
      <c r="D67" s="4">
        <v>22913</v>
      </c>
      <c r="E67" t="s">
        <v>44</v>
      </c>
      <c r="F67">
        <v>1</v>
      </c>
      <c r="G67" t="s">
        <v>128</v>
      </c>
      <c r="H67">
        <v>4</v>
      </c>
      <c r="I67">
        <v>31.7</v>
      </c>
      <c r="J67">
        <v>68.3</v>
      </c>
      <c r="K67">
        <v>3</v>
      </c>
      <c r="L67">
        <v>19</v>
      </c>
      <c r="M67">
        <v>1</v>
      </c>
      <c r="N67">
        <v>10</v>
      </c>
      <c r="O67">
        <v>1</v>
      </c>
      <c r="P67">
        <v>4</v>
      </c>
      <c r="Q67">
        <v>1</v>
      </c>
      <c r="R67">
        <v>5</v>
      </c>
      <c r="S67">
        <v>67.599999999999994</v>
      </c>
      <c r="T67">
        <v>87.6</v>
      </c>
      <c r="U67">
        <v>1</v>
      </c>
      <c r="V67">
        <v>4</v>
      </c>
      <c r="W67">
        <v>76.900000000000006</v>
      </c>
      <c r="X67">
        <v>66.7</v>
      </c>
      <c r="Y67">
        <v>10</v>
      </c>
      <c r="Z67">
        <v>90</v>
      </c>
      <c r="AA67" s="17">
        <f t="shared" si="5"/>
        <v>19913</v>
      </c>
      <c r="AB67">
        <f t="shared" si="6"/>
        <v>25700</v>
      </c>
      <c r="AC67" s="18">
        <f t="shared" si="7"/>
        <v>77</v>
      </c>
      <c r="AD67" s="22">
        <f t="shared" si="8"/>
        <v>77</v>
      </c>
    </row>
    <row r="68" spans="1:30" x14ac:dyDescent="0.25">
      <c r="A68" t="s">
        <v>281</v>
      </c>
      <c r="B68" s="20">
        <v>44835</v>
      </c>
      <c r="C68" t="s">
        <v>146</v>
      </c>
      <c r="D68" s="4">
        <v>53320</v>
      </c>
      <c r="E68" t="s">
        <v>17</v>
      </c>
      <c r="F68">
        <v>3</v>
      </c>
      <c r="G68" t="s">
        <v>126</v>
      </c>
      <c r="H68">
        <v>3</v>
      </c>
      <c r="I68">
        <v>53.8</v>
      </c>
      <c r="J68">
        <v>46.2</v>
      </c>
      <c r="K68">
        <v>15</v>
      </c>
      <c r="L68">
        <v>6</v>
      </c>
      <c r="M68">
        <v>7</v>
      </c>
      <c r="N68">
        <v>6</v>
      </c>
      <c r="O68">
        <v>6</v>
      </c>
      <c r="P68">
        <v>0</v>
      </c>
      <c r="Q68">
        <v>2</v>
      </c>
      <c r="R68">
        <v>0</v>
      </c>
      <c r="S68">
        <v>81.5</v>
      </c>
      <c r="T68">
        <v>78</v>
      </c>
      <c r="U68">
        <v>4</v>
      </c>
      <c r="V68">
        <v>5</v>
      </c>
      <c r="W68">
        <v>64.3</v>
      </c>
      <c r="X68">
        <v>39.1</v>
      </c>
      <c r="Y68">
        <v>57.9</v>
      </c>
      <c r="Z68">
        <v>42.1</v>
      </c>
      <c r="AA68" s="17">
        <f t="shared" si="5"/>
        <v>50320</v>
      </c>
      <c r="AB68">
        <f t="shared" si="6"/>
        <v>58000</v>
      </c>
      <c r="AC68" s="18">
        <f t="shared" si="7"/>
        <v>86</v>
      </c>
      <c r="AD68" s="22">
        <f t="shared" si="8"/>
        <v>86</v>
      </c>
    </row>
    <row r="69" spans="1:30" x14ac:dyDescent="0.25">
      <c r="A69" t="s">
        <v>281</v>
      </c>
      <c r="B69" s="20">
        <v>44835</v>
      </c>
      <c r="C69" t="s">
        <v>184</v>
      </c>
      <c r="D69" s="4">
        <v>62444</v>
      </c>
      <c r="E69" t="s">
        <v>130</v>
      </c>
      <c r="F69">
        <v>2</v>
      </c>
      <c r="G69" t="s">
        <v>173</v>
      </c>
      <c r="H69">
        <v>0</v>
      </c>
      <c r="I69">
        <v>39.1</v>
      </c>
      <c r="J69">
        <v>60.9</v>
      </c>
      <c r="K69">
        <v>18</v>
      </c>
      <c r="L69">
        <v>15</v>
      </c>
      <c r="M69">
        <v>5</v>
      </c>
      <c r="N69">
        <v>4</v>
      </c>
      <c r="O69">
        <v>5</v>
      </c>
      <c r="P69">
        <v>7</v>
      </c>
      <c r="Q69">
        <v>8</v>
      </c>
      <c r="R69">
        <v>4</v>
      </c>
      <c r="S69">
        <v>80.900000000000006</v>
      </c>
      <c r="T69">
        <v>87.2</v>
      </c>
      <c r="U69">
        <v>0</v>
      </c>
      <c r="V69">
        <v>1</v>
      </c>
      <c r="W69">
        <v>59.1</v>
      </c>
      <c r="X69">
        <v>58.3</v>
      </c>
      <c r="Y69">
        <v>64</v>
      </c>
      <c r="Z69">
        <v>36</v>
      </c>
      <c r="AA69" s="17">
        <f t="shared" si="5"/>
        <v>59444</v>
      </c>
      <c r="AB69">
        <f t="shared" si="6"/>
        <v>65013</v>
      </c>
      <c r="AC69" s="18">
        <f t="shared" si="7"/>
        <v>91</v>
      </c>
      <c r="AD69" s="22">
        <f t="shared" si="8"/>
        <v>91</v>
      </c>
    </row>
    <row r="70" spans="1:30" x14ac:dyDescent="0.25">
      <c r="A70" t="s">
        <v>281</v>
      </c>
      <c r="B70" s="20">
        <v>44835</v>
      </c>
      <c r="C70" t="s">
        <v>177</v>
      </c>
      <c r="D70" s="4">
        <v>30510</v>
      </c>
      <c r="E70" t="s">
        <v>28</v>
      </c>
      <c r="F70">
        <v>1</v>
      </c>
      <c r="G70" t="s">
        <v>23</v>
      </c>
      <c r="H70">
        <v>2</v>
      </c>
      <c r="I70">
        <v>54.2</v>
      </c>
      <c r="J70">
        <v>45.8</v>
      </c>
      <c r="K70">
        <v>22</v>
      </c>
      <c r="L70">
        <v>12</v>
      </c>
      <c r="M70">
        <v>6</v>
      </c>
      <c r="N70">
        <v>5</v>
      </c>
      <c r="O70">
        <v>9</v>
      </c>
      <c r="P70">
        <v>4</v>
      </c>
      <c r="Q70">
        <v>7</v>
      </c>
      <c r="R70">
        <v>3</v>
      </c>
      <c r="S70">
        <v>81.3</v>
      </c>
      <c r="T70">
        <v>77.599999999999994</v>
      </c>
      <c r="U70">
        <v>3</v>
      </c>
      <c r="V70">
        <v>4</v>
      </c>
      <c r="W70">
        <v>50</v>
      </c>
      <c r="X70">
        <v>56.5</v>
      </c>
      <c r="Y70">
        <v>40.6</v>
      </c>
      <c r="Z70">
        <v>59.4</v>
      </c>
      <c r="AA70" s="17">
        <f t="shared" si="5"/>
        <v>27510</v>
      </c>
      <c r="AB70">
        <f t="shared" si="6"/>
        <v>29384</v>
      </c>
      <c r="AC70" s="18">
        <f t="shared" si="7"/>
        <v>93</v>
      </c>
      <c r="AD70" s="22">
        <f t="shared" si="8"/>
        <v>93</v>
      </c>
    </row>
    <row r="71" spans="1:30" x14ac:dyDescent="0.25">
      <c r="A71" t="s">
        <v>281</v>
      </c>
      <c r="B71" s="20">
        <v>44835</v>
      </c>
      <c r="C71" t="s">
        <v>143</v>
      </c>
      <c r="D71" s="4">
        <v>25198</v>
      </c>
      <c r="E71" t="s">
        <v>29</v>
      </c>
      <c r="F71">
        <v>1</v>
      </c>
      <c r="G71" t="s">
        <v>21</v>
      </c>
      <c r="H71">
        <v>2</v>
      </c>
      <c r="I71">
        <v>36</v>
      </c>
      <c r="J71">
        <v>64</v>
      </c>
      <c r="K71">
        <v>7</v>
      </c>
      <c r="L71">
        <v>13</v>
      </c>
      <c r="M71">
        <v>3</v>
      </c>
      <c r="N71">
        <v>3</v>
      </c>
      <c r="O71">
        <v>4</v>
      </c>
      <c r="P71">
        <v>7</v>
      </c>
      <c r="Q71">
        <v>0</v>
      </c>
      <c r="R71">
        <v>3</v>
      </c>
      <c r="S71">
        <v>77.900000000000006</v>
      </c>
      <c r="T71">
        <v>88</v>
      </c>
      <c r="U71">
        <v>1</v>
      </c>
      <c r="V71">
        <v>0</v>
      </c>
      <c r="W71">
        <v>55.6</v>
      </c>
      <c r="X71">
        <v>56.3</v>
      </c>
      <c r="Y71">
        <v>45</v>
      </c>
      <c r="Z71">
        <v>55</v>
      </c>
      <c r="AA71" s="17">
        <f t="shared" si="5"/>
        <v>22198</v>
      </c>
      <c r="AB71">
        <f t="shared" si="6"/>
        <v>23486</v>
      </c>
      <c r="AC71" s="18">
        <f t="shared" si="7"/>
        <v>94</v>
      </c>
      <c r="AD71" s="22">
        <f t="shared" si="8"/>
        <v>94</v>
      </c>
    </row>
    <row r="72" spans="1:30" x14ac:dyDescent="0.25">
      <c r="A72" t="s">
        <v>281</v>
      </c>
      <c r="B72" s="20">
        <v>44835</v>
      </c>
      <c r="C72" t="s">
        <v>172</v>
      </c>
      <c r="D72" s="4">
        <v>60278</v>
      </c>
      <c r="E72" t="s">
        <v>20</v>
      </c>
      <c r="F72">
        <v>3</v>
      </c>
      <c r="G72" t="s">
        <v>129</v>
      </c>
      <c r="H72">
        <v>1</v>
      </c>
      <c r="I72">
        <v>64.7</v>
      </c>
      <c r="J72">
        <v>35.299999999999997</v>
      </c>
      <c r="K72">
        <v>22</v>
      </c>
      <c r="L72">
        <v>7</v>
      </c>
      <c r="M72">
        <v>9</v>
      </c>
      <c r="N72">
        <v>3</v>
      </c>
      <c r="O72">
        <v>9</v>
      </c>
      <c r="P72">
        <v>2</v>
      </c>
      <c r="Q72">
        <v>4</v>
      </c>
      <c r="R72">
        <v>2</v>
      </c>
      <c r="S72">
        <v>90.4</v>
      </c>
      <c r="T72">
        <v>78.2</v>
      </c>
      <c r="U72">
        <v>1</v>
      </c>
      <c r="V72">
        <v>1</v>
      </c>
      <c r="W72">
        <v>71.400000000000006</v>
      </c>
      <c r="X72">
        <v>62.5</v>
      </c>
      <c r="Y72">
        <v>56.3</v>
      </c>
      <c r="Z72">
        <v>43.8</v>
      </c>
      <c r="AA72" s="17">
        <f t="shared" si="5"/>
        <v>57278</v>
      </c>
      <c r="AB72">
        <f t="shared" si="6"/>
        <v>57704</v>
      </c>
      <c r="AC72" s="18">
        <f t="shared" si="7"/>
        <v>99</v>
      </c>
      <c r="AD72" s="22">
        <f t="shared" si="8"/>
        <v>99</v>
      </c>
    </row>
    <row r="73" spans="1:30" x14ac:dyDescent="0.25">
      <c r="A73" t="s">
        <v>280</v>
      </c>
      <c r="B73" s="20">
        <v>44836</v>
      </c>
      <c r="C73" t="s">
        <v>175</v>
      </c>
      <c r="D73" s="4">
        <v>36582</v>
      </c>
      <c r="E73" t="s">
        <v>27</v>
      </c>
      <c r="F73">
        <v>0</v>
      </c>
      <c r="G73" t="s">
        <v>12</v>
      </c>
      <c r="H73">
        <v>0</v>
      </c>
      <c r="I73">
        <v>43.8</v>
      </c>
      <c r="J73">
        <v>56.2</v>
      </c>
      <c r="K73">
        <v>6</v>
      </c>
      <c r="L73">
        <v>19</v>
      </c>
      <c r="M73">
        <v>1</v>
      </c>
      <c r="N73">
        <v>7</v>
      </c>
      <c r="O73">
        <v>2</v>
      </c>
      <c r="P73">
        <v>8</v>
      </c>
      <c r="Q73">
        <v>3</v>
      </c>
      <c r="R73">
        <v>4</v>
      </c>
      <c r="S73">
        <v>72</v>
      </c>
      <c r="T73">
        <v>77.2</v>
      </c>
      <c r="U73">
        <v>0</v>
      </c>
      <c r="V73">
        <v>3</v>
      </c>
      <c r="W73">
        <v>75</v>
      </c>
      <c r="X73">
        <v>68.8</v>
      </c>
      <c r="Y73">
        <v>42.1</v>
      </c>
      <c r="Z73">
        <v>57.9</v>
      </c>
      <c r="AA73" s="17">
        <f t="shared" si="5"/>
        <v>33582</v>
      </c>
      <c r="AB73">
        <f t="shared" si="6"/>
        <v>35220</v>
      </c>
      <c r="AC73" s="18">
        <f t="shared" si="7"/>
        <v>95</v>
      </c>
      <c r="AD73" s="22">
        <f t="shared" si="8"/>
        <v>95</v>
      </c>
    </row>
    <row r="74" spans="1:30" x14ac:dyDescent="0.25">
      <c r="A74" t="s">
        <v>280</v>
      </c>
      <c r="B74" s="20">
        <v>44836</v>
      </c>
      <c r="C74" t="s">
        <v>185</v>
      </c>
      <c r="D74" s="4">
        <v>53475</v>
      </c>
      <c r="E74" t="s">
        <v>19</v>
      </c>
      <c r="F74">
        <v>6</v>
      </c>
      <c r="G74" t="s">
        <v>127</v>
      </c>
      <c r="H74">
        <v>3</v>
      </c>
      <c r="I74">
        <v>53.9</v>
      </c>
      <c r="J74">
        <v>46.1</v>
      </c>
      <c r="K74">
        <v>22</v>
      </c>
      <c r="L74">
        <v>12</v>
      </c>
      <c r="M74">
        <v>10</v>
      </c>
      <c r="N74">
        <v>8</v>
      </c>
      <c r="O74">
        <v>6</v>
      </c>
      <c r="P74">
        <v>1</v>
      </c>
      <c r="Q74">
        <v>6</v>
      </c>
      <c r="R74">
        <v>3</v>
      </c>
      <c r="S74">
        <v>88</v>
      </c>
      <c r="T74">
        <v>85.7</v>
      </c>
      <c r="U74">
        <v>3</v>
      </c>
      <c r="V74">
        <v>0</v>
      </c>
      <c r="W74">
        <v>57.1</v>
      </c>
      <c r="X74">
        <v>35.700000000000003</v>
      </c>
      <c r="Y74">
        <v>62.5</v>
      </c>
      <c r="Z74">
        <v>37.5</v>
      </c>
      <c r="AA74" s="17">
        <f t="shared" si="5"/>
        <v>50475</v>
      </c>
      <c r="AB74">
        <f t="shared" si="6"/>
        <v>50400</v>
      </c>
      <c r="AC74" s="18">
        <f t="shared" si="7"/>
        <v>100</v>
      </c>
      <c r="AD74" s="22">
        <f t="shared" si="8"/>
        <v>100</v>
      </c>
    </row>
    <row r="75" spans="1:30" x14ac:dyDescent="0.25">
      <c r="A75" t="s">
        <v>279</v>
      </c>
      <c r="B75" s="20">
        <v>44837</v>
      </c>
      <c r="C75" t="s">
        <v>176</v>
      </c>
      <c r="D75" s="4">
        <v>32202</v>
      </c>
      <c r="E75" t="s">
        <v>36</v>
      </c>
      <c r="F75">
        <v>4</v>
      </c>
      <c r="G75" t="s">
        <v>123</v>
      </c>
      <c r="H75">
        <v>0</v>
      </c>
      <c r="I75">
        <v>51.6</v>
      </c>
      <c r="J75">
        <v>48.4</v>
      </c>
      <c r="K75">
        <v>17</v>
      </c>
      <c r="L75">
        <v>10</v>
      </c>
      <c r="M75">
        <v>7</v>
      </c>
      <c r="N75">
        <v>3</v>
      </c>
      <c r="O75">
        <v>7</v>
      </c>
      <c r="P75">
        <v>5</v>
      </c>
      <c r="Q75">
        <v>3</v>
      </c>
      <c r="R75">
        <v>2</v>
      </c>
      <c r="S75">
        <v>84.6</v>
      </c>
      <c r="T75">
        <v>78</v>
      </c>
      <c r="U75">
        <v>2</v>
      </c>
      <c r="V75">
        <v>3</v>
      </c>
      <c r="W75">
        <v>63.6</v>
      </c>
      <c r="X75">
        <v>69.2</v>
      </c>
      <c r="Y75">
        <v>52.2</v>
      </c>
      <c r="Z75">
        <v>47.8</v>
      </c>
      <c r="AA75" s="17">
        <f t="shared" si="5"/>
        <v>29202</v>
      </c>
      <c r="AB75">
        <f t="shared" si="6"/>
        <v>29261</v>
      </c>
      <c r="AC75" s="18">
        <f t="shared" si="7"/>
        <v>99</v>
      </c>
      <c r="AD75" s="22">
        <f t="shared" si="8"/>
        <v>99</v>
      </c>
    </row>
    <row r="76" spans="1:30" x14ac:dyDescent="0.25">
      <c r="A76" t="s">
        <v>278</v>
      </c>
      <c r="B76" s="20">
        <v>44842</v>
      </c>
      <c r="C76" t="s">
        <v>188</v>
      </c>
      <c r="D76" s="4">
        <v>10272</v>
      </c>
      <c r="E76" t="s">
        <v>57</v>
      </c>
      <c r="F76">
        <v>2</v>
      </c>
      <c r="G76" t="s">
        <v>36</v>
      </c>
      <c r="H76">
        <v>1</v>
      </c>
      <c r="I76">
        <v>44.2</v>
      </c>
      <c r="J76">
        <v>55.8</v>
      </c>
      <c r="K76">
        <v>10</v>
      </c>
      <c r="L76">
        <v>9</v>
      </c>
      <c r="M76">
        <v>4</v>
      </c>
      <c r="N76">
        <v>5</v>
      </c>
      <c r="O76">
        <v>2</v>
      </c>
      <c r="P76">
        <v>2</v>
      </c>
      <c r="Q76">
        <v>4</v>
      </c>
      <c r="R76">
        <v>2</v>
      </c>
      <c r="S76">
        <v>84.7</v>
      </c>
      <c r="T76">
        <v>86.2</v>
      </c>
      <c r="U76">
        <v>1</v>
      </c>
      <c r="V76">
        <v>1</v>
      </c>
      <c r="W76">
        <v>84.6</v>
      </c>
      <c r="X76">
        <v>68.8</v>
      </c>
      <c r="Y76">
        <v>26.9</v>
      </c>
      <c r="Z76">
        <v>73.099999999999994</v>
      </c>
      <c r="AA76" s="17">
        <f t="shared" si="5"/>
        <v>7272</v>
      </c>
      <c r="AB76">
        <f t="shared" si="6"/>
        <v>9879</v>
      </c>
      <c r="AC76" s="18">
        <f t="shared" si="7"/>
        <v>73</v>
      </c>
      <c r="AD76" s="22">
        <f t="shared" si="8"/>
        <v>73</v>
      </c>
    </row>
    <row r="77" spans="1:30" x14ac:dyDescent="0.25">
      <c r="A77" t="s">
        <v>278</v>
      </c>
      <c r="B77" s="20">
        <v>44842</v>
      </c>
      <c r="C77" t="s">
        <v>142</v>
      </c>
      <c r="D77" s="4">
        <v>39940</v>
      </c>
      <c r="E77" t="s">
        <v>21</v>
      </c>
      <c r="F77">
        <v>3</v>
      </c>
      <c r="G77" t="s">
        <v>173</v>
      </c>
      <c r="H77">
        <v>0</v>
      </c>
      <c r="I77">
        <v>57.4</v>
      </c>
      <c r="J77">
        <v>42.6</v>
      </c>
      <c r="K77">
        <v>20</v>
      </c>
      <c r="L77">
        <v>8</v>
      </c>
      <c r="M77">
        <v>7</v>
      </c>
      <c r="N77">
        <v>2</v>
      </c>
      <c r="O77">
        <v>10</v>
      </c>
      <c r="P77">
        <v>5</v>
      </c>
      <c r="Q77">
        <v>3</v>
      </c>
      <c r="R77">
        <v>1</v>
      </c>
      <c r="S77">
        <v>87.6</v>
      </c>
      <c r="T77">
        <v>83.5</v>
      </c>
      <c r="U77">
        <v>4</v>
      </c>
      <c r="V77">
        <v>1</v>
      </c>
      <c r="W77">
        <v>57.7</v>
      </c>
      <c r="X77">
        <v>69.2</v>
      </c>
      <c r="Y77">
        <v>40.9</v>
      </c>
      <c r="Z77">
        <v>59.1</v>
      </c>
      <c r="AA77" s="17">
        <f t="shared" si="5"/>
        <v>36940</v>
      </c>
      <c r="AB77">
        <f t="shared" si="6"/>
        <v>37343</v>
      </c>
      <c r="AC77" s="18">
        <f t="shared" si="7"/>
        <v>98</v>
      </c>
      <c r="AD77" s="22">
        <f t="shared" si="8"/>
        <v>98</v>
      </c>
    </row>
    <row r="78" spans="1:30" x14ac:dyDescent="0.25">
      <c r="A78" t="s">
        <v>278</v>
      </c>
      <c r="B78" s="20">
        <v>44842</v>
      </c>
      <c r="C78" t="s">
        <v>180</v>
      </c>
      <c r="D78" s="4">
        <v>31498</v>
      </c>
      <c r="E78" t="s">
        <v>126</v>
      </c>
      <c r="F78">
        <v>0</v>
      </c>
      <c r="G78" t="s">
        <v>129</v>
      </c>
      <c r="H78">
        <v>1</v>
      </c>
      <c r="I78">
        <v>58.9</v>
      </c>
      <c r="J78">
        <v>41.1</v>
      </c>
      <c r="K78">
        <v>14</v>
      </c>
      <c r="L78">
        <v>8</v>
      </c>
      <c r="M78">
        <v>4</v>
      </c>
      <c r="N78">
        <v>3</v>
      </c>
      <c r="O78">
        <v>5</v>
      </c>
      <c r="P78">
        <v>4</v>
      </c>
      <c r="Q78">
        <v>5</v>
      </c>
      <c r="R78">
        <v>1</v>
      </c>
      <c r="S78">
        <v>87.9</v>
      </c>
      <c r="T78">
        <v>81.400000000000006</v>
      </c>
      <c r="U78">
        <v>1</v>
      </c>
      <c r="V78">
        <v>1</v>
      </c>
      <c r="W78">
        <v>52.9</v>
      </c>
      <c r="X78">
        <v>80</v>
      </c>
      <c r="Y78">
        <v>52.2</v>
      </c>
      <c r="Z78">
        <v>47.8</v>
      </c>
      <c r="AA78" s="17">
        <f t="shared" si="5"/>
        <v>28498</v>
      </c>
      <c r="AB78">
        <f t="shared" si="6"/>
        <v>28876</v>
      </c>
      <c r="AC78" s="18">
        <f t="shared" si="7"/>
        <v>98</v>
      </c>
      <c r="AD78" s="22">
        <f t="shared" si="8"/>
        <v>98</v>
      </c>
    </row>
    <row r="79" spans="1:30" x14ac:dyDescent="0.25">
      <c r="A79" t="s">
        <v>278</v>
      </c>
      <c r="B79" s="20">
        <v>44842</v>
      </c>
      <c r="C79" t="s">
        <v>185</v>
      </c>
      <c r="D79" s="4">
        <v>53365</v>
      </c>
      <c r="E79" t="s">
        <v>19</v>
      </c>
      <c r="F79">
        <v>4</v>
      </c>
      <c r="G79" t="s">
        <v>28</v>
      </c>
      <c r="H79">
        <v>0</v>
      </c>
      <c r="I79">
        <v>65.2</v>
      </c>
      <c r="J79">
        <v>34.799999999999997</v>
      </c>
      <c r="K79">
        <v>21</v>
      </c>
      <c r="L79">
        <v>5</v>
      </c>
      <c r="M79">
        <v>8</v>
      </c>
      <c r="N79">
        <v>0</v>
      </c>
      <c r="O79">
        <v>9</v>
      </c>
      <c r="P79">
        <v>3</v>
      </c>
      <c r="Q79">
        <v>4</v>
      </c>
      <c r="R79">
        <v>2</v>
      </c>
      <c r="S79">
        <v>89.5</v>
      </c>
      <c r="T79">
        <v>80.7</v>
      </c>
      <c r="U79">
        <v>6</v>
      </c>
      <c r="V79">
        <v>0</v>
      </c>
      <c r="W79">
        <v>53.3</v>
      </c>
      <c r="X79">
        <v>47.4</v>
      </c>
      <c r="Y79">
        <v>52.4</v>
      </c>
      <c r="Z79">
        <v>47.6</v>
      </c>
      <c r="AA79" s="17">
        <f t="shared" si="5"/>
        <v>50365</v>
      </c>
      <c r="AB79">
        <f t="shared" si="6"/>
        <v>50400</v>
      </c>
      <c r="AC79" s="18">
        <f t="shared" si="7"/>
        <v>99</v>
      </c>
      <c r="AD79" s="22">
        <f t="shared" si="8"/>
        <v>99</v>
      </c>
    </row>
    <row r="80" spans="1:30" x14ac:dyDescent="0.25">
      <c r="A80" t="s">
        <v>278</v>
      </c>
      <c r="B80" s="20">
        <v>44842</v>
      </c>
      <c r="C80" t="s">
        <v>182</v>
      </c>
      <c r="D80" s="4">
        <v>52067</v>
      </c>
      <c r="E80" t="s">
        <v>128</v>
      </c>
      <c r="F80">
        <v>5</v>
      </c>
      <c r="G80" t="s">
        <v>60</v>
      </c>
      <c r="H80">
        <v>1</v>
      </c>
      <c r="I80">
        <v>54.4</v>
      </c>
      <c r="J80">
        <v>45.6</v>
      </c>
      <c r="K80">
        <v>16</v>
      </c>
      <c r="L80">
        <v>6</v>
      </c>
      <c r="M80">
        <v>6</v>
      </c>
      <c r="N80">
        <v>3</v>
      </c>
      <c r="O80">
        <v>4</v>
      </c>
      <c r="P80">
        <v>1</v>
      </c>
      <c r="Q80">
        <v>6</v>
      </c>
      <c r="R80">
        <v>2</v>
      </c>
      <c r="S80">
        <v>79.400000000000006</v>
      </c>
      <c r="T80">
        <v>74.7</v>
      </c>
      <c r="U80">
        <v>2</v>
      </c>
      <c r="V80">
        <v>0</v>
      </c>
      <c r="W80">
        <v>40</v>
      </c>
      <c r="X80">
        <v>70</v>
      </c>
      <c r="Y80">
        <v>53.6</v>
      </c>
      <c r="Z80">
        <v>46.4</v>
      </c>
      <c r="AA80" s="17">
        <f t="shared" si="5"/>
        <v>49067</v>
      </c>
      <c r="AB80">
        <f t="shared" si="6"/>
        <v>49350</v>
      </c>
      <c r="AC80" s="18">
        <f t="shared" si="7"/>
        <v>99</v>
      </c>
      <c r="AD80" s="22">
        <f t="shared" si="8"/>
        <v>99</v>
      </c>
    </row>
    <row r="81" spans="1:30" x14ac:dyDescent="0.25">
      <c r="A81" t="s">
        <v>277</v>
      </c>
      <c r="B81" s="20">
        <v>44843</v>
      </c>
      <c r="C81" t="s">
        <v>184</v>
      </c>
      <c r="D81" s="4">
        <v>62454</v>
      </c>
      <c r="E81" t="s">
        <v>130</v>
      </c>
      <c r="F81">
        <v>3</v>
      </c>
      <c r="G81" t="s">
        <v>44</v>
      </c>
      <c r="H81">
        <v>1</v>
      </c>
      <c r="I81">
        <v>50.3</v>
      </c>
      <c r="J81">
        <v>49.7</v>
      </c>
      <c r="K81">
        <v>17</v>
      </c>
      <c r="L81">
        <v>8</v>
      </c>
      <c r="M81">
        <v>8</v>
      </c>
      <c r="N81">
        <v>2</v>
      </c>
      <c r="O81">
        <v>4</v>
      </c>
      <c r="P81">
        <v>4</v>
      </c>
      <c r="Q81">
        <v>5</v>
      </c>
      <c r="R81">
        <v>2</v>
      </c>
      <c r="S81">
        <v>82.5</v>
      </c>
      <c r="T81">
        <v>82.3</v>
      </c>
      <c r="U81">
        <v>3</v>
      </c>
      <c r="V81">
        <v>0</v>
      </c>
      <c r="W81">
        <v>58.3</v>
      </c>
      <c r="X81">
        <v>50</v>
      </c>
      <c r="Y81">
        <v>43.8</v>
      </c>
      <c r="Z81">
        <v>56.3</v>
      </c>
      <c r="AA81" s="17">
        <f t="shared" si="5"/>
        <v>59454</v>
      </c>
      <c r="AB81">
        <f t="shared" si="6"/>
        <v>65013</v>
      </c>
      <c r="AC81" s="18">
        <f t="shared" si="7"/>
        <v>91</v>
      </c>
      <c r="AD81" s="22">
        <f t="shared" si="8"/>
        <v>91</v>
      </c>
    </row>
    <row r="82" spans="1:30" x14ac:dyDescent="0.25">
      <c r="A82" t="s">
        <v>277</v>
      </c>
      <c r="B82" s="20">
        <v>44843</v>
      </c>
      <c r="C82" t="s">
        <v>143</v>
      </c>
      <c r="D82" s="4">
        <v>25042</v>
      </c>
      <c r="E82" t="s">
        <v>29</v>
      </c>
      <c r="F82">
        <v>2</v>
      </c>
      <c r="G82" t="s">
        <v>27</v>
      </c>
      <c r="H82">
        <v>1</v>
      </c>
      <c r="I82">
        <v>54.5</v>
      </c>
      <c r="J82">
        <v>45.5</v>
      </c>
      <c r="K82">
        <v>13</v>
      </c>
      <c r="L82">
        <v>10</v>
      </c>
      <c r="M82">
        <v>5</v>
      </c>
      <c r="N82">
        <v>4</v>
      </c>
      <c r="O82">
        <v>5</v>
      </c>
      <c r="P82">
        <v>2</v>
      </c>
      <c r="Q82">
        <v>3</v>
      </c>
      <c r="R82">
        <v>4</v>
      </c>
      <c r="S82">
        <v>76.8</v>
      </c>
      <c r="T82">
        <v>64.3</v>
      </c>
      <c r="U82">
        <v>3</v>
      </c>
      <c r="V82">
        <v>1</v>
      </c>
      <c r="W82">
        <v>38.9</v>
      </c>
      <c r="X82">
        <v>44.8</v>
      </c>
      <c r="Y82">
        <v>53.6</v>
      </c>
      <c r="Z82">
        <v>46.4</v>
      </c>
      <c r="AA82" s="17">
        <f t="shared" si="5"/>
        <v>22042</v>
      </c>
      <c r="AB82">
        <f t="shared" si="6"/>
        <v>23486</v>
      </c>
      <c r="AC82" s="18">
        <f t="shared" si="7"/>
        <v>93</v>
      </c>
      <c r="AD82" s="22">
        <f t="shared" si="8"/>
        <v>93</v>
      </c>
    </row>
    <row r="83" spans="1:30" x14ac:dyDescent="0.25">
      <c r="A83" t="s">
        <v>277</v>
      </c>
      <c r="B83" s="20">
        <v>44843</v>
      </c>
      <c r="C83" t="s">
        <v>172</v>
      </c>
      <c r="D83" s="4">
        <v>59968</v>
      </c>
      <c r="E83" t="s">
        <v>20</v>
      </c>
      <c r="F83">
        <v>3</v>
      </c>
      <c r="G83" t="s">
        <v>17</v>
      </c>
      <c r="H83">
        <v>2</v>
      </c>
      <c r="I83">
        <v>44</v>
      </c>
      <c r="J83">
        <v>56</v>
      </c>
      <c r="K83">
        <v>11</v>
      </c>
      <c r="L83">
        <v>8</v>
      </c>
      <c r="M83">
        <v>7</v>
      </c>
      <c r="N83">
        <v>3</v>
      </c>
      <c r="O83">
        <v>1</v>
      </c>
      <c r="P83">
        <v>2</v>
      </c>
      <c r="Q83">
        <v>3</v>
      </c>
      <c r="R83">
        <v>3</v>
      </c>
      <c r="S83">
        <v>78.2</v>
      </c>
      <c r="T83">
        <v>80.900000000000006</v>
      </c>
      <c r="U83">
        <v>2</v>
      </c>
      <c r="V83">
        <v>1</v>
      </c>
      <c r="W83">
        <v>62.5</v>
      </c>
      <c r="X83">
        <v>46.7</v>
      </c>
      <c r="Y83">
        <v>56.5</v>
      </c>
      <c r="Z83">
        <v>43.5</v>
      </c>
      <c r="AA83" s="17">
        <f t="shared" si="5"/>
        <v>56968</v>
      </c>
      <c r="AB83">
        <f t="shared" si="6"/>
        <v>57704</v>
      </c>
      <c r="AC83" s="18">
        <f t="shared" si="7"/>
        <v>98</v>
      </c>
      <c r="AD83" s="22">
        <f t="shared" si="8"/>
        <v>98</v>
      </c>
    </row>
    <row r="84" spans="1:30" x14ac:dyDescent="0.25">
      <c r="A84" t="s">
        <v>277</v>
      </c>
      <c r="B84" s="20">
        <v>44843</v>
      </c>
      <c r="C84" t="s">
        <v>144</v>
      </c>
      <c r="D84" s="4">
        <v>39258</v>
      </c>
      <c r="E84" t="s">
        <v>23</v>
      </c>
      <c r="F84">
        <v>1</v>
      </c>
      <c r="G84" t="s">
        <v>127</v>
      </c>
      <c r="H84">
        <v>2</v>
      </c>
      <c r="I84">
        <v>39.700000000000003</v>
      </c>
      <c r="J84">
        <v>60.3</v>
      </c>
      <c r="K84">
        <v>11</v>
      </c>
      <c r="L84">
        <v>12</v>
      </c>
      <c r="M84">
        <v>2</v>
      </c>
      <c r="N84">
        <v>4</v>
      </c>
      <c r="O84">
        <v>3</v>
      </c>
      <c r="P84">
        <v>5</v>
      </c>
      <c r="Q84">
        <v>6</v>
      </c>
      <c r="R84">
        <v>3</v>
      </c>
      <c r="S84">
        <v>78.7</v>
      </c>
      <c r="T84">
        <v>83.7</v>
      </c>
      <c r="U84">
        <v>0</v>
      </c>
      <c r="V84">
        <v>3</v>
      </c>
      <c r="W84">
        <v>66.7</v>
      </c>
      <c r="X84">
        <v>40</v>
      </c>
      <c r="Y84">
        <v>43.3</v>
      </c>
      <c r="Z84">
        <v>56.7</v>
      </c>
      <c r="AA84" s="17">
        <f t="shared" si="5"/>
        <v>36258</v>
      </c>
      <c r="AB84">
        <f t="shared" si="6"/>
        <v>36572</v>
      </c>
      <c r="AC84" s="18">
        <f t="shared" si="7"/>
        <v>99</v>
      </c>
      <c r="AD84" s="22">
        <f t="shared" si="8"/>
        <v>99</v>
      </c>
    </row>
    <row r="85" spans="1:30" x14ac:dyDescent="0.25">
      <c r="A85" t="s">
        <v>276</v>
      </c>
      <c r="B85" s="20">
        <v>44844</v>
      </c>
      <c r="C85" t="s">
        <v>189</v>
      </c>
      <c r="D85" s="4">
        <v>29208</v>
      </c>
      <c r="E85" t="s">
        <v>123</v>
      </c>
      <c r="F85">
        <v>1</v>
      </c>
      <c r="G85" t="s">
        <v>12</v>
      </c>
      <c r="H85">
        <v>1</v>
      </c>
      <c r="I85">
        <v>39.9</v>
      </c>
      <c r="J85">
        <v>60.1</v>
      </c>
      <c r="K85">
        <v>6</v>
      </c>
      <c r="L85">
        <v>12</v>
      </c>
      <c r="M85">
        <v>3</v>
      </c>
      <c r="N85">
        <v>2</v>
      </c>
      <c r="O85">
        <v>1</v>
      </c>
      <c r="P85">
        <v>2</v>
      </c>
      <c r="Q85">
        <v>2</v>
      </c>
      <c r="R85">
        <v>8</v>
      </c>
      <c r="S85">
        <v>73.900000000000006</v>
      </c>
      <c r="T85">
        <v>86.2</v>
      </c>
      <c r="U85">
        <v>0</v>
      </c>
      <c r="V85">
        <v>1</v>
      </c>
      <c r="W85">
        <v>64.3</v>
      </c>
      <c r="X85">
        <v>50</v>
      </c>
      <c r="Y85">
        <v>70</v>
      </c>
      <c r="Z85">
        <v>30</v>
      </c>
      <c r="AA85" s="17">
        <f t="shared" si="5"/>
        <v>26208</v>
      </c>
      <c r="AB85">
        <f t="shared" si="6"/>
        <v>27445</v>
      </c>
      <c r="AC85" s="18">
        <f t="shared" si="7"/>
        <v>95</v>
      </c>
      <c r="AD85" s="22">
        <f t="shared" si="8"/>
        <v>95</v>
      </c>
    </row>
    <row r="86" spans="1:30" x14ac:dyDescent="0.25">
      <c r="A86" t="s">
        <v>275</v>
      </c>
      <c r="B86" s="20">
        <v>44848</v>
      </c>
      <c r="C86" t="s">
        <v>174</v>
      </c>
      <c r="D86" s="4">
        <v>17016</v>
      </c>
      <c r="E86" t="s">
        <v>60</v>
      </c>
      <c r="F86">
        <v>2</v>
      </c>
      <c r="G86" t="s">
        <v>126</v>
      </c>
      <c r="H86">
        <v>0</v>
      </c>
      <c r="I86">
        <v>27.5</v>
      </c>
      <c r="J86">
        <v>72.5</v>
      </c>
      <c r="K86">
        <v>7</v>
      </c>
      <c r="L86">
        <v>21</v>
      </c>
      <c r="M86">
        <v>3</v>
      </c>
      <c r="N86">
        <v>7</v>
      </c>
      <c r="O86">
        <v>4</v>
      </c>
      <c r="P86">
        <v>4</v>
      </c>
      <c r="Q86">
        <v>0</v>
      </c>
      <c r="R86">
        <v>10</v>
      </c>
      <c r="S86">
        <v>66.8</v>
      </c>
      <c r="T86">
        <v>85.1</v>
      </c>
      <c r="U86">
        <v>2</v>
      </c>
      <c r="V86">
        <v>2</v>
      </c>
      <c r="W86">
        <v>58.3</v>
      </c>
      <c r="X86">
        <v>60</v>
      </c>
      <c r="Y86">
        <v>53.1</v>
      </c>
      <c r="Z86">
        <v>46.9</v>
      </c>
      <c r="AA86" s="17">
        <f t="shared" si="5"/>
        <v>14016</v>
      </c>
      <c r="AB86">
        <f t="shared" si="6"/>
        <v>15250</v>
      </c>
      <c r="AC86" s="18">
        <f t="shared" si="7"/>
        <v>91</v>
      </c>
      <c r="AD86" s="22">
        <f t="shared" si="8"/>
        <v>91</v>
      </c>
    </row>
    <row r="87" spans="1:30" x14ac:dyDescent="0.25">
      <c r="A87" t="s">
        <v>274</v>
      </c>
      <c r="B87" s="20">
        <v>44849</v>
      </c>
      <c r="C87" t="s">
        <v>145</v>
      </c>
      <c r="D87" s="4">
        <v>22913</v>
      </c>
      <c r="E87" t="s">
        <v>44</v>
      </c>
      <c r="F87">
        <v>2</v>
      </c>
      <c r="G87" t="s">
        <v>57</v>
      </c>
      <c r="H87">
        <v>2</v>
      </c>
      <c r="I87">
        <v>68.900000000000006</v>
      </c>
      <c r="J87">
        <v>31.1</v>
      </c>
      <c r="K87">
        <v>19</v>
      </c>
      <c r="L87">
        <v>10</v>
      </c>
      <c r="M87">
        <v>4</v>
      </c>
      <c r="N87">
        <v>6</v>
      </c>
      <c r="O87">
        <v>8</v>
      </c>
      <c r="P87">
        <v>4</v>
      </c>
      <c r="Q87">
        <v>7</v>
      </c>
      <c r="R87">
        <v>0</v>
      </c>
      <c r="S87">
        <v>84.8</v>
      </c>
      <c r="T87">
        <v>69.8</v>
      </c>
      <c r="U87">
        <v>0</v>
      </c>
      <c r="V87">
        <v>2</v>
      </c>
      <c r="W87">
        <v>75</v>
      </c>
      <c r="X87">
        <v>50</v>
      </c>
      <c r="Y87">
        <v>51.4</v>
      </c>
      <c r="Z87">
        <v>48.6</v>
      </c>
      <c r="AA87" s="17">
        <f t="shared" si="5"/>
        <v>19913</v>
      </c>
      <c r="AB87">
        <f t="shared" si="6"/>
        <v>25700</v>
      </c>
      <c r="AC87" s="18">
        <f t="shared" si="7"/>
        <v>77</v>
      </c>
      <c r="AD87" s="22">
        <f t="shared" si="8"/>
        <v>77</v>
      </c>
    </row>
    <row r="88" spans="1:30" x14ac:dyDescent="0.25">
      <c r="A88" t="s">
        <v>274</v>
      </c>
      <c r="B88" s="20">
        <v>44849</v>
      </c>
      <c r="C88" t="s">
        <v>176</v>
      </c>
      <c r="D88" s="4">
        <v>31298</v>
      </c>
      <c r="E88" t="s">
        <v>36</v>
      </c>
      <c r="F88">
        <v>0</v>
      </c>
      <c r="G88" t="s">
        <v>29</v>
      </c>
      <c r="H88">
        <v>0</v>
      </c>
      <c r="I88">
        <v>53.1</v>
      </c>
      <c r="J88">
        <v>46.9</v>
      </c>
      <c r="K88">
        <v>14</v>
      </c>
      <c r="L88">
        <v>8</v>
      </c>
      <c r="M88">
        <v>5</v>
      </c>
      <c r="N88">
        <v>1</v>
      </c>
      <c r="O88">
        <v>5</v>
      </c>
      <c r="P88">
        <v>5</v>
      </c>
      <c r="Q88">
        <v>4</v>
      </c>
      <c r="R88">
        <v>2</v>
      </c>
      <c r="S88">
        <v>85.1</v>
      </c>
      <c r="T88">
        <v>82.9</v>
      </c>
      <c r="U88">
        <v>1</v>
      </c>
      <c r="V88">
        <v>0</v>
      </c>
      <c r="W88">
        <v>48</v>
      </c>
      <c r="X88">
        <v>69.2</v>
      </c>
      <c r="Y88">
        <v>40.9</v>
      </c>
      <c r="Z88">
        <v>59.1</v>
      </c>
      <c r="AA88" s="17">
        <f t="shared" si="5"/>
        <v>28298</v>
      </c>
      <c r="AB88">
        <f t="shared" si="6"/>
        <v>29261</v>
      </c>
      <c r="AC88" s="18">
        <f t="shared" si="7"/>
        <v>96</v>
      </c>
      <c r="AD88" s="22">
        <f t="shared" si="8"/>
        <v>96</v>
      </c>
    </row>
    <row r="89" spans="1:30" x14ac:dyDescent="0.25">
      <c r="A89" t="s">
        <v>274</v>
      </c>
      <c r="B89" s="20">
        <v>44849</v>
      </c>
      <c r="C89" t="s">
        <v>152</v>
      </c>
      <c r="D89" s="4">
        <v>31554</v>
      </c>
      <c r="E89" t="s">
        <v>173</v>
      </c>
      <c r="F89">
        <v>1</v>
      </c>
      <c r="G89" t="s">
        <v>123</v>
      </c>
      <c r="H89">
        <v>0</v>
      </c>
      <c r="I89">
        <v>58</v>
      </c>
      <c r="J89">
        <v>42</v>
      </c>
      <c r="K89">
        <v>9</v>
      </c>
      <c r="L89">
        <v>10</v>
      </c>
      <c r="M89">
        <v>2</v>
      </c>
      <c r="N89">
        <v>2</v>
      </c>
      <c r="O89">
        <v>5</v>
      </c>
      <c r="P89">
        <v>6</v>
      </c>
      <c r="Q89">
        <v>2</v>
      </c>
      <c r="R89">
        <v>2</v>
      </c>
      <c r="S89">
        <v>81.599999999999994</v>
      </c>
      <c r="T89">
        <v>71.900000000000006</v>
      </c>
      <c r="U89">
        <v>0</v>
      </c>
      <c r="V89">
        <v>0</v>
      </c>
      <c r="W89">
        <v>47.1</v>
      </c>
      <c r="X89">
        <v>37.5</v>
      </c>
      <c r="Y89">
        <v>34.6</v>
      </c>
      <c r="Z89">
        <v>65.400000000000006</v>
      </c>
      <c r="AA89" s="17">
        <f t="shared" si="5"/>
        <v>28554</v>
      </c>
      <c r="AB89">
        <f t="shared" si="6"/>
        <v>29050</v>
      </c>
      <c r="AC89" s="18">
        <f t="shared" si="7"/>
        <v>98</v>
      </c>
      <c r="AD89" s="22">
        <f t="shared" si="8"/>
        <v>98</v>
      </c>
    </row>
    <row r="90" spans="1:30" x14ac:dyDescent="0.25">
      <c r="A90" t="s">
        <v>274</v>
      </c>
      <c r="B90" s="20">
        <v>44849</v>
      </c>
      <c r="C90" t="s">
        <v>187</v>
      </c>
      <c r="D90" s="4">
        <v>61812</v>
      </c>
      <c r="E90" t="s">
        <v>129</v>
      </c>
      <c r="F90">
        <v>2</v>
      </c>
      <c r="G90" t="s">
        <v>23</v>
      </c>
      <c r="H90">
        <v>0</v>
      </c>
      <c r="I90">
        <v>61.5</v>
      </c>
      <c r="J90">
        <v>38.5</v>
      </c>
      <c r="K90">
        <v>21</v>
      </c>
      <c r="L90">
        <v>4</v>
      </c>
      <c r="M90">
        <v>7</v>
      </c>
      <c r="N90">
        <v>0</v>
      </c>
      <c r="O90">
        <v>6</v>
      </c>
      <c r="P90">
        <v>3</v>
      </c>
      <c r="Q90">
        <v>8</v>
      </c>
      <c r="R90">
        <v>1</v>
      </c>
      <c r="S90">
        <v>88.3</v>
      </c>
      <c r="T90">
        <v>81.7</v>
      </c>
      <c r="U90">
        <v>2</v>
      </c>
      <c r="V90">
        <v>0</v>
      </c>
      <c r="W90">
        <v>75</v>
      </c>
      <c r="X90">
        <v>66.7</v>
      </c>
      <c r="Y90">
        <v>56.5</v>
      </c>
      <c r="Z90">
        <v>43.5</v>
      </c>
      <c r="AA90" s="17">
        <f t="shared" si="5"/>
        <v>58812</v>
      </c>
      <c r="AB90">
        <f t="shared" si="6"/>
        <v>59850</v>
      </c>
      <c r="AC90" s="18">
        <f t="shared" si="7"/>
        <v>98</v>
      </c>
      <c r="AD90" s="22">
        <f t="shared" si="8"/>
        <v>98</v>
      </c>
    </row>
    <row r="91" spans="1:30" x14ac:dyDescent="0.25">
      <c r="A91" t="s">
        <v>273</v>
      </c>
      <c r="B91" s="20">
        <v>44850</v>
      </c>
      <c r="C91" t="s">
        <v>146</v>
      </c>
      <c r="D91" s="4">
        <v>53286</v>
      </c>
      <c r="E91" t="s">
        <v>17</v>
      </c>
      <c r="F91">
        <v>1</v>
      </c>
      <c r="G91" t="s">
        <v>19</v>
      </c>
      <c r="H91">
        <v>0</v>
      </c>
      <c r="I91">
        <v>36.799999999999997</v>
      </c>
      <c r="J91">
        <v>63.2</v>
      </c>
      <c r="K91">
        <v>13</v>
      </c>
      <c r="L91">
        <v>16</v>
      </c>
      <c r="M91">
        <v>2</v>
      </c>
      <c r="N91">
        <v>6</v>
      </c>
      <c r="O91">
        <v>8</v>
      </c>
      <c r="P91">
        <v>4</v>
      </c>
      <c r="Q91">
        <v>3</v>
      </c>
      <c r="R91">
        <v>6</v>
      </c>
      <c r="S91">
        <v>76.900000000000006</v>
      </c>
      <c r="T91">
        <v>87.7</v>
      </c>
      <c r="U91">
        <v>5</v>
      </c>
      <c r="V91">
        <v>1</v>
      </c>
      <c r="W91">
        <v>52.2</v>
      </c>
      <c r="X91">
        <v>70</v>
      </c>
      <c r="Y91">
        <v>40</v>
      </c>
      <c r="Z91">
        <v>60</v>
      </c>
      <c r="AA91" s="17">
        <f t="shared" si="5"/>
        <v>50286</v>
      </c>
      <c r="AB91">
        <f t="shared" si="6"/>
        <v>58000</v>
      </c>
      <c r="AC91" s="18">
        <f t="shared" si="7"/>
        <v>86</v>
      </c>
      <c r="AD91" s="22">
        <f t="shared" si="8"/>
        <v>86</v>
      </c>
    </row>
    <row r="92" spans="1:30" x14ac:dyDescent="0.25">
      <c r="A92" t="s">
        <v>273</v>
      </c>
      <c r="B92" s="20">
        <v>44850</v>
      </c>
      <c r="C92" t="s">
        <v>177</v>
      </c>
      <c r="D92" s="4">
        <v>29159</v>
      </c>
      <c r="E92" t="s">
        <v>28</v>
      </c>
      <c r="F92">
        <v>1</v>
      </c>
      <c r="G92" t="s">
        <v>130</v>
      </c>
      <c r="H92">
        <v>1</v>
      </c>
      <c r="I92">
        <v>39.1</v>
      </c>
      <c r="J92">
        <v>60.9</v>
      </c>
      <c r="K92">
        <v>10</v>
      </c>
      <c r="L92">
        <v>25</v>
      </c>
      <c r="M92">
        <v>8</v>
      </c>
      <c r="N92">
        <v>4</v>
      </c>
      <c r="O92">
        <v>1</v>
      </c>
      <c r="P92">
        <v>9</v>
      </c>
      <c r="Q92">
        <v>1</v>
      </c>
      <c r="R92">
        <v>12</v>
      </c>
      <c r="S92">
        <v>72.400000000000006</v>
      </c>
      <c r="T92">
        <v>80.099999999999994</v>
      </c>
      <c r="U92">
        <v>1</v>
      </c>
      <c r="V92">
        <v>1</v>
      </c>
      <c r="W92">
        <v>35.700000000000003</v>
      </c>
      <c r="X92">
        <v>54.5</v>
      </c>
      <c r="Y92">
        <v>50</v>
      </c>
      <c r="Z92">
        <v>50</v>
      </c>
      <c r="AA92" s="17">
        <f t="shared" si="5"/>
        <v>26159</v>
      </c>
      <c r="AB92">
        <f t="shared" si="6"/>
        <v>29384</v>
      </c>
      <c r="AC92" s="18">
        <f t="shared" si="7"/>
        <v>89</v>
      </c>
      <c r="AD92" s="22">
        <f t="shared" si="8"/>
        <v>89</v>
      </c>
    </row>
    <row r="93" spans="1:30" x14ac:dyDescent="0.25">
      <c r="A93" t="s">
        <v>273</v>
      </c>
      <c r="B93" s="20">
        <v>44850</v>
      </c>
      <c r="C93" t="s">
        <v>175</v>
      </c>
      <c r="D93" s="4">
        <v>36700</v>
      </c>
      <c r="E93" t="s">
        <v>27</v>
      </c>
      <c r="F93">
        <v>0</v>
      </c>
      <c r="G93" t="s">
        <v>20</v>
      </c>
      <c r="H93">
        <v>1</v>
      </c>
      <c r="I93">
        <v>47</v>
      </c>
      <c r="J93">
        <v>53</v>
      </c>
      <c r="K93">
        <v>16</v>
      </c>
      <c r="L93">
        <v>9</v>
      </c>
      <c r="M93">
        <v>4</v>
      </c>
      <c r="N93">
        <v>4</v>
      </c>
      <c r="O93">
        <v>5</v>
      </c>
      <c r="P93">
        <v>2</v>
      </c>
      <c r="Q93">
        <v>7</v>
      </c>
      <c r="R93">
        <v>3</v>
      </c>
      <c r="S93">
        <v>78</v>
      </c>
      <c r="T93">
        <v>83</v>
      </c>
      <c r="U93">
        <v>1</v>
      </c>
      <c r="V93">
        <v>1</v>
      </c>
      <c r="W93">
        <v>56</v>
      </c>
      <c r="X93">
        <v>58.8</v>
      </c>
      <c r="Y93">
        <v>56.5</v>
      </c>
      <c r="Z93">
        <v>43.5</v>
      </c>
      <c r="AA93" s="17">
        <f t="shared" si="5"/>
        <v>33700</v>
      </c>
      <c r="AB93">
        <f t="shared" si="6"/>
        <v>35220</v>
      </c>
      <c r="AC93" s="18">
        <f t="shared" si="7"/>
        <v>95</v>
      </c>
      <c r="AD93" s="22">
        <f t="shared" si="8"/>
        <v>95</v>
      </c>
    </row>
    <row r="94" spans="1:30" x14ac:dyDescent="0.25">
      <c r="A94" t="s">
        <v>273</v>
      </c>
      <c r="B94" s="20">
        <v>44850</v>
      </c>
      <c r="C94" t="s">
        <v>138</v>
      </c>
      <c r="D94" s="4">
        <v>41754</v>
      </c>
      <c r="E94" t="s">
        <v>12</v>
      </c>
      <c r="F94">
        <v>0</v>
      </c>
      <c r="G94" t="s">
        <v>21</v>
      </c>
      <c r="H94">
        <v>2</v>
      </c>
      <c r="I94">
        <v>41.1</v>
      </c>
      <c r="J94">
        <v>58.9</v>
      </c>
      <c r="K94">
        <v>18</v>
      </c>
      <c r="L94">
        <v>8</v>
      </c>
      <c r="M94">
        <v>7</v>
      </c>
      <c r="N94">
        <v>4</v>
      </c>
      <c r="O94">
        <v>7</v>
      </c>
      <c r="P94">
        <v>3</v>
      </c>
      <c r="Q94">
        <v>4</v>
      </c>
      <c r="R94">
        <v>1</v>
      </c>
      <c r="S94">
        <v>80.2</v>
      </c>
      <c r="T94">
        <v>85.4</v>
      </c>
      <c r="U94">
        <v>3</v>
      </c>
      <c r="V94">
        <v>2</v>
      </c>
      <c r="W94">
        <v>41.7</v>
      </c>
      <c r="X94">
        <v>66.7</v>
      </c>
      <c r="Y94">
        <v>66.7</v>
      </c>
      <c r="Z94">
        <v>33.299999999999997</v>
      </c>
      <c r="AA94" s="17">
        <f t="shared" si="5"/>
        <v>38754</v>
      </c>
      <c r="AB94">
        <f t="shared" si="6"/>
        <v>39000</v>
      </c>
      <c r="AC94" s="18">
        <f t="shared" si="7"/>
        <v>99</v>
      </c>
      <c r="AD94" s="22">
        <f t="shared" si="8"/>
        <v>99</v>
      </c>
    </row>
    <row r="95" spans="1:30" x14ac:dyDescent="0.25">
      <c r="A95" t="s">
        <v>273</v>
      </c>
      <c r="B95" s="20">
        <v>44850</v>
      </c>
      <c r="C95" t="s">
        <v>148</v>
      </c>
      <c r="D95" s="4">
        <v>73726</v>
      </c>
      <c r="E95" t="s">
        <v>127</v>
      </c>
      <c r="F95">
        <v>0</v>
      </c>
      <c r="G95" t="s">
        <v>128</v>
      </c>
      <c r="H95">
        <v>0</v>
      </c>
      <c r="I95">
        <v>63</v>
      </c>
      <c r="J95">
        <v>37</v>
      </c>
      <c r="K95">
        <v>15</v>
      </c>
      <c r="L95">
        <v>9</v>
      </c>
      <c r="M95">
        <v>2</v>
      </c>
      <c r="N95">
        <v>2</v>
      </c>
      <c r="O95">
        <v>8</v>
      </c>
      <c r="P95">
        <v>5</v>
      </c>
      <c r="Q95">
        <v>5</v>
      </c>
      <c r="R95">
        <v>2</v>
      </c>
      <c r="S95">
        <v>81.099999999999994</v>
      </c>
      <c r="T95">
        <v>72.099999999999994</v>
      </c>
      <c r="U95">
        <v>2</v>
      </c>
      <c r="V95">
        <v>0</v>
      </c>
      <c r="W95">
        <v>61.1</v>
      </c>
      <c r="X95">
        <v>30.8</v>
      </c>
      <c r="Y95">
        <v>35</v>
      </c>
      <c r="Z95">
        <v>65</v>
      </c>
      <c r="AA95" s="17">
        <f t="shared" si="5"/>
        <v>70726</v>
      </c>
      <c r="AB95">
        <f t="shared" si="6"/>
        <v>71310</v>
      </c>
      <c r="AC95" s="18">
        <f t="shared" si="7"/>
        <v>99</v>
      </c>
      <c r="AD95" s="22">
        <f t="shared" si="8"/>
        <v>99</v>
      </c>
    </row>
    <row r="96" spans="1:30" x14ac:dyDescent="0.25">
      <c r="A96" t="s">
        <v>272</v>
      </c>
      <c r="B96" s="20">
        <v>44852</v>
      </c>
      <c r="C96" t="s">
        <v>143</v>
      </c>
      <c r="D96" s="4">
        <v>25125</v>
      </c>
      <c r="E96" t="s">
        <v>29</v>
      </c>
      <c r="F96">
        <v>2</v>
      </c>
      <c r="G96" t="s">
        <v>173</v>
      </c>
      <c r="H96">
        <v>1</v>
      </c>
      <c r="I96">
        <v>51.3</v>
      </c>
      <c r="J96">
        <v>48.7</v>
      </c>
      <c r="K96">
        <v>14</v>
      </c>
      <c r="L96">
        <v>10</v>
      </c>
      <c r="M96">
        <v>4</v>
      </c>
      <c r="N96">
        <v>4</v>
      </c>
      <c r="O96">
        <v>5</v>
      </c>
      <c r="P96">
        <v>5</v>
      </c>
      <c r="Q96">
        <v>5</v>
      </c>
      <c r="R96">
        <v>1</v>
      </c>
      <c r="S96">
        <v>82.4</v>
      </c>
      <c r="T96">
        <v>79.400000000000006</v>
      </c>
      <c r="U96">
        <v>2</v>
      </c>
      <c r="V96">
        <v>2</v>
      </c>
      <c r="W96">
        <v>52.2</v>
      </c>
      <c r="X96">
        <v>51.7</v>
      </c>
      <c r="Y96">
        <v>58.6</v>
      </c>
      <c r="Z96">
        <v>41.4</v>
      </c>
      <c r="AA96" s="17">
        <f t="shared" si="5"/>
        <v>22125</v>
      </c>
      <c r="AB96">
        <f t="shared" si="6"/>
        <v>23486</v>
      </c>
      <c r="AC96" s="18">
        <f t="shared" si="7"/>
        <v>94</v>
      </c>
      <c r="AD96" s="22">
        <f t="shared" si="8"/>
        <v>94</v>
      </c>
    </row>
    <row r="97" spans="1:30" x14ac:dyDescent="0.25">
      <c r="A97" t="s">
        <v>272</v>
      </c>
      <c r="B97" s="20">
        <v>44852</v>
      </c>
      <c r="C97" t="s">
        <v>180</v>
      </c>
      <c r="D97" s="4">
        <v>31463</v>
      </c>
      <c r="E97" t="s">
        <v>126</v>
      </c>
      <c r="F97">
        <v>0</v>
      </c>
      <c r="G97" t="s">
        <v>123</v>
      </c>
      <c r="H97">
        <v>0</v>
      </c>
      <c r="I97">
        <v>70.3</v>
      </c>
      <c r="J97">
        <v>29.7</v>
      </c>
      <c r="K97">
        <v>19</v>
      </c>
      <c r="L97">
        <v>3</v>
      </c>
      <c r="M97">
        <v>7</v>
      </c>
      <c r="N97">
        <v>0</v>
      </c>
      <c r="O97">
        <v>7</v>
      </c>
      <c r="P97">
        <v>3</v>
      </c>
      <c r="Q97">
        <v>5</v>
      </c>
      <c r="R97">
        <v>0</v>
      </c>
      <c r="S97">
        <v>86.8</v>
      </c>
      <c r="T97">
        <v>67.7</v>
      </c>
      <c r="U97">
        <v>2</v>
      </c>
      <c r="V97">
        <v>0</v>
      </c>
      <c r="W97">
        <v>63.6</v>
      </c>
      <c r="X97">
        <v>61.5</v>
      </c>
      <c r="Y97">
        <v>51.6</v>
      </c>
      <c r="Z97">
        <v>48.4</v>
      </c>
      <c r="AA97" s="17">
        <f t="shared" si="5"/>
        <v>28463</v>
      </c>
      <c r="AB97">
        <f t="shared" si="6"/>
        <v>28876</v>
      </c>
      <c r="AC97" s="18">
        <f t="shared" si="7"/>
        <v>98</v>
      </c>
      <c r="AD97" s="22">
        <f t="shared" si="8"/>
        <v>98</v>
      </c>
    </row>
    <row r="98" spans="1:30" x14ac:dyDescent="0.25">
      <c r="A98" t="s">
        <v>271</v>
      </c>
      <c r="B98" s="20">
        <v>44853</v>
      </c>
      <c r="C98" t="s">
        <v>188</v>
      </c>
      <c r="D98" s="4">
        <v>10405</v>
      </c>
      <c r="E98" t="s">
        <v>57</v>
      </c>
      <c r="F98">
        <v>0</v>
      </c>
      <c r="G98" t="s">
        <v>28</v>
      </c>
      <c r="H98">
        <v>1</v>
      </c>
      <c r="I98">
        <v>53.5</v>
      </c>
      <c r="J98">
        <v>46.5</v>
      </c>
      <c r="K98">
        <v>15</v>
      </c>
      <c r="L98">
        <v>9</v>
      </c>
      <c r="M98">
        <v>3</v>
      </c>
      <c r="N98">
        <v>3</v>
      </c>
      <c r="O98">
        <v>8</v>
      </c>
      <c r="P98">
        <v>2</v>
      </c>
      <c r="Q98">
        <v>4</v>
      </c>
      <c r="R98">
        <v>4</v>
      </c>
      <c r="S98">
        <v>81.900000000000006</v>
      </c>
      <c r="T98">
        <v>81</v>
      </c>
      <c r="U98">
        <v>0</v>
      </c>
      <c r="V98">
        <v>1</v>
      </c>
      <c r="W98">
        <v>38.5</v>
      </c>
      <c r="X98">
        <v>47.8</v>
      </c>
      <c r="Y98">
        <v>62.5</v>
      </c>
      <c r="Z98">
        <v>37.5</v>
      </c>
      <c r="AA98" s="17">
        <f t="shared" si="5"/>
        <v>7405</v>
      </c>
      <c r="AB98">
        <f t="shared" si="6"/>
        <v>9879</v>
      </c>
      <c r="AC98" s="18">
        <f t="shared" si="7"/>
        <v>74</v>
      </c>
      <c r="AD98" s="22">
        <f t="shared" si="8"/>
        <v>74</v>
      </c>
    </row>
    <row r="99" spans="1:30" x14ac:dyDescent="0.25">
      <c r="A99" t="s">
        <v>270</v>
      </c>
      <c r="B99" s="20">
        <v>44853</v>
      </c>
      <c r="C99" t="s">
        <v>145</v>
      </c>
      <c r="D99" s="4">
        <v>23508</v>
      </c>
      <c r="E99" t="s">
        <v>44</v>
      </c>
      <c r="F99">
        <v>3</v>
      </c>
      <c r="G99" t="s">
        <v>12</v>
      </c>
      <c r="H99">
        <v>0</v>
      </c>
      <c r="I99">
        <v>60.4</v>
      </c>
      <c r="J99">
        <v>39.6</v>
      </c>
      <c r="K99">
        <v>18</v>
      </c>
      <c r="L99">
        <v>12</v>
      </c>
      <c r="M99">
        <v>8</v>
      </c>
      <c r="N99">
        <v>6</v>
      </c>
      <c r="O99">
        <v>5</v>
      </c>
      <c r="P99">
        <v>3</v>
      </c>
      <c r="Q99">
        <v>5</v>
      </c>
      <c r="R99">
        <v>3</v>
      </c>
      <c r="S99">
        <v>85.7</v>
      </c>
      <c r="T99">
        <v>77.5</v>
      </c>
      <c r="U99">
        <v>2</v>
      </c>
      <c r="V99">
        <v>0</v>
      </c>
      <c r="W99">
        <v>58.3</v>
      </c>
      <c r="X99">
        <v>42.9</v>
      </c>
      <c r="Y99">
        <v>53.1</v>
      </c>
      <c r="Z99">
        <v>46.9</v>
      </c>
      <c r="AA99" s="17">
        <f t="shared" si="5"/>
        <v>20508</v>
      </c>
      <c r="AB99">
        <f t="shared" si="6"/>
        <v>25700</v>
      </c>
      <c r="AC99" s="18">
        <f t="shared" si="7"/>
        <v>79</v>
      </c>
      <c r="AD99" s="22">
        <f t="shared" si="8"/>
        <v>79</v>
      </c>
    </row>
    <row r="100" spans="1:30" x14ac:dyDescent="0.25">
      <c r="A100" t="s">
        <v>271</v>
      </c>
      <c r="B100" s="20">
        <v>44853</v>
      </c>
      <c r="C100" t="s">
        <v>146</v>
      </c>
      <c r="D100" s="4">
        <v>53346</v>
      </c>
      <c r="E100" t="s">
        <v>17</v>
      </c>
      <c r="F100">
        <v>1</v>
      </c>
      <c r="G100" t="s">
        <v>130</v>
      </c>
      <c r="H100">
        <v>0</v>
      </c>
      <c r="I100">
        <v>53.8</v>
      </c>
      <c r="J100">
        <v>46.2</v>
      </c>
      <c r="K100">
        <v>22</v>
      </c>
      <c r="L100">
        <v>8</v>
      </c>
      <c r="M100">
        <v>7</v>
      </c>
      <c r="N100">
        <v>3</v>
      </c>
      <c r="O100">
        <v>8</v>
      </c>
      <c r="P100">
        <v>4</v>
      </c>
      <c r="Q100">
        <v>7</v>
      </c>
      <c r="R100">
        <v>1</v>
      </c>
      <c r="S100">
        <v>85.2</v>
      </c>
      <c r="T100">
        <v>80.8</v>
      </c>
      <c r="U100">
        <v>1</v>
      </c>
      <c r="V100">
        <v>4</v>
      </c>
      <c r="W100">
        <v>61.5</v>
      </c>
      <c r="X100">
        <v>53.3</v>
      </c>
      <c r="Y100">
        <v>61.1</v>
      </c>
      <c r="Z100">
        <v>38.9</v>
      </c>
      <c r="AA100" s="17">
        <f t="shared" si="5"/>
        <v>50346</v>
      </c>
      <c r="AB100">
        <f t="shared" si="6"/>
        <v>58000</v>
      </c>
      <c r="AC100" s="18">
        <f t="shared" si="7"/>
        <v>86</v>
      </c>
      <c r="AD100" s="22">
        <f t="shared" si="8"/>
        <v>86</v>
      </c>
    </row>
    <row r="101" spans="1:30" x14ac:dyDescent="0.25">
      <c r="A101" t="s">
        <v>271</v>
      </c>
      <c r="B101" s="20">
        <v>44853</v>
      </c>
      <c r="C101" t="s">
        <v>174</v>
      </c>
      <c r="D101" s="4">
        <v>17118</v>
      </c>
      <c r="E101" t="s">
        <v>60</v>
      </c>
      <c r="F101">
        <v>0</v>
      </c>
      <c r="G101" t="s">
        <v>21</v>
      </c>
      <c r="H101">
        <v>0</v>
      </c>
      <c r="I101">
        <v>33.700000000000003</v>
      </c>
      <c r="J101">
        <v>66.3</v>
      </c>
      <c r="K101">
        <v>8</v>
      </c>
      <c r="L101">
        <v>14</v>
      </c>
      <c r="M101">
        <v>5</v>
      </c>
      <c r="N101">
        <v>5</v>
      </c>
      <c r="O101">
        <v>2</v>
      </c>
      <c r="P101">
        <v>3</v>
      </c>
      <c r="Q101">
        <v>1</v>
      </c>
      <c r="R101">
        <v>6</v>
      </c>
      <c r="S101">
        <v>70</v>
      </c>
      <c r="T101">
        <v>85.2</v>
      </c>
      <c r="U101">
        <v>2</v>
      </c>
      <c r="V101">
        <v>1</v>
      </c>
      <c r="W101">
        <v>47.4</v>
      </c>
      <c r="X101">
        <v>47.1</v>
      </c>
      <c r="Y101">
        <v>52.2</v>
      </c>
      <c r="Z101">
        <v>47.8</v>
      </c>
      <c r="AA101" s="17">
        <f t="shared" si="5"/>
        <v>14118</v>
      </c>
      <c r="AB101">
        <f t="shared" si="6"/>
        <v>15250</v>
      </c>
      <c r="AC101" s="18">
        <f t="shared" si="7"/>
        <v>92</v>
      </c>
      <c r="AD101" s="22">
        <f t="shared" si="8"/>
        <v>92</v>
      </c>
    </row>
    <row r="102" spans="1:30" x14ac:dyDescent="0.25">
      <c r="A102" t="s">
        <v>270</v>
      </c>
      <c r="B102" s="20">
        <v>44853</v>
      </c>
      <c r="C102" t="s">
        <v>176</v>
      </c>
      <c r="D102" s="4">
        <v>30814</v>
      </c>
      <c r="E102" t="s">
        <v>36</v>
      </c>
      <c r="F102">
        <v>2</v>
      </c>
      <c r="G102" t="s">
        <v>27</v>
      </c>
      <c r="H102">
        <v>0</v>
      </c>
      <c r="I102">
        <v>46.8</v>
      </c>
      <c r="J102">
        <v>53.2</v>
      </c>
      <c r="K102">
        <v>5</v>
      </c>
      <c r="L102">
        <v>14</v>
      </c>
      <c r="M102">
        <v>1</v>
      </c>
      <c r="N102">
        <v>2</v>
      </c>
      <c r="O102">
        <v>1</v>
      </c>
      <c r="P102">
        <v>8</v>
      </c>
      <c r="Q102">
        <v>3</v>
      </c>
      <c r="R102">
        <v>4</v>
      </c>
      <c r="S102">
        <v>78.3</v>
      </c>
      <c r="T102">
        <v>78.400000000000006</v>
      </c>
      <c r="U102">
        <v>1</v>
      </c>
      <c r="V102">
        <v>1</v>
      </c>
      <c r="W102">
        <v>53.8</v>
      </c>
      <c r="X102">
        <v>53.3</v>
      </c>
      <c r="Y102">
        <v>33.299999999999997</v>
      </c>
      <c r="Z102">
        <v>66.7</v>
      </c>
      <c r="AA102" s="17">
        <f t="shared" si="5"/>
        <v>27814</v>
      </c>
      <c r="AB102">
        <f t="shared" si="6"/>
        <v>29261</v>
      </c>
      <c r="AC102" s="18">
        <f t="shared" si="7"/>
        <v>95</v>
      </c>
      <c r="AD102" s="22">
        <f t="shared" si="8"/>
        <v>95</v>
      </c>
    </row>
    <row r="103" spans="1:30" x14ac:dyDescent="0.25">
      <c r="A103" t="s">
        <v>269</v>
      </c>
      <c r="B103" s="20">
        <v>44853</v>
      </c>
      <c r="C103" t="s">
        <v>142</v>
      </c>
      <c r="D103" s="4">
        <v>39503</v>
      </c>
      <c r="E103" t="s">
        <v>21</v>
      </c>
      <c r="F103">
        <v>1</v>
      </c>
      <c r="G103" t="s">
        <v>127</v>
      </c>
      <c r="H103">
        <v>1</v>
      </c>
      <c r="I103">
        <v>47.9</v>
      </c>
      <c r="J103">
        <v>52.1</v>
      </c>
      <c r="K103">
        <v>6</v>
      </c>
      <c r="L103">
        <v>13</v>
      </c>
      <c r="M103">
        <v>2</v>
      </c>
      <c r="N103">
        <v>6</v>
      </c>
      <c r="O103">
        <v>3</v>
      </c>
      <c r="P103">
        <v>6</v>
      </c>
      <c r="Q103">
        <v>1</v>
      </c>
      <c r="R103">
        <v>1</v>
      </c>
      <c r="S103">
        <v>78</v>
      </c>
      <c r="T103">
        <v>77.599999999999994</v>
      </c>
      <c r="U103">
        <v>1</v>
      </c>
      <c r="V103">
        <v>1</v>
      </c>
      <c r="W103">
        <v>50</v>
      </c>
      <c r="X103">
        <v>44.4</v>
      </c>
      <c r="Y103">
        <v>46.7</v>
      </c>
      <c r="Z103">
        <v>53.3</v>
      </c>
      <c r="AA103" s="17">
        <f t="shared" si="5"/>
        <v>36503</v>
      </c>
      <c r="AB103">
        <f t="shared" si="6"/>
        <v>37343</v>
      </c>
      <c r="AC103" s="18">
        <f t="shared" si="7"/>
        <v>97</v>
      </c>
      <c r="AD103" s="22">
        <f t="shared" si="8"/>
        <v>97</v>
      </c>
    </row>
    <row r="104" spans="1:30" x14ac:dyDescent="0.25">
      <c r="A104" t="s">
        <v>271</v>
      </c>
      <c r="B104" s="20">
        <v>44853</v>
      </c>
      <c r="C104" t="s">
        <v>182</v>
      </c>
      <c r="D104" s="4">
        <v>52247</v>
      </c>
      <c r="E104" t="s">
        <v>128</v>
      </c>
      <c r="F104">
        <v>1</v>
      </c>
      <c r="G104" t="s">
        <v>23</v>
      </c>
      <c r="H104">
        <v>0</v>
      </c>
      <c r="I104">
        <v>49.8</v>
      </c>
      <c r="J104">
        <v>50.2</v>
      </c>
      <c r="K104">
        <v>16</v>
      </c>
      <c r="L104">
        <v>1</v>
      </c>
      <c r="M104">
        <v>4</v>
      </c>
      <c r="N104">
        <v>0</v>
      </c>
      <c r="O104">
        <v>9</v>
      </c>
      <c r="P104">
        <v>1</v>
      </c>
      <c r="Q104">
        <v>3</v>
      </c>
      <c r="R104">
        <v>0</v>
      </c>
      <c r="S104">
        <v>76.8</v>
      </c>
      <c r="T104">
        <v>76.2</v>
      </c>
      <c r="U104">
        <v>1</v>
      </c>
      <c r="V104">
        <v>0</v>
      </c>
      <c r="W104">
        <v>77.8</v>
      </c>
      <c r="X104">
        <v>44.4</v>
      </c>
      <c r="Y104">
        <v>64.7</v>
      </c>
      <c r="Z104">
        <v>35.299999999999997</v>
      </c>
      <c r="AA104" s="17">
        <f t="shared" si="5"/>
        <v>49247</v>
      </c>
      <c r="AB104">
        <f t="shared" si="6"/>
        <v>49350</v>
      </c>
      <c r="AC104" s="18">
        <f t="shared" si="7"/>
        <v>99</v>
      </c>
      <c r="AD104" s="22">
        <f t="shared" si="8"/>
        <v>99</v>
      </c>
    </row>
    <row r="105" spans="1:30" x14ac:dyDescent="0.25">
      <c r="A105" t="s">
        <v>271</v>
      </c>
      <c r="B105" s="20">
        <v>44853</v>
      </c>
      <c r="C105" t="s">
        <v>148</v>
      </c>
      <c r="D105" s="4">
        <v>73677</v>
      </c>
      <c r="E105" t="s">
        <v>127</v>
      </c>
      <c r="F105">
        <v>2</v>
      </c>
      <c r="G105" t="s">
        <v>129</v>
      </c>
      <c r="H105">
        <v>0</v>
      </c>
      <c r="I105">
        <v>51.9</v>
      </c>
      <c r="J105">
        <v>48.1</v>
      </c>
      <c r="K105">
        <v>28</v>
      </c>
      <c r="L105">
        <v>9</v>
      </c>
      <c r="M105">
        <v>10</v>
      </c>
      <c r="N105">
        <v>2</v>
      </c>
      <c r="O105">
        <v>9</v>
      </c>
      <c r="P105">
        <v>5</v>
      </c>
      <c r="Q105">
        <v>9</v>
      </c>
      <c r="R105">
        <v>2</v>
      </c>
      <c r="S105">
        <v>85.4</v>
      </c>
      <c r="T105">
        <v>84.3</v>
      </c>
      <c r="U105">
        <v>2</v>
      </c>
      <c r="V105">
        <v>1</v>
      </c>
      <c r="W105">
        <v>70.599999999999994</v>
      </c>
      <c r="X105">
        <v>50</v>
      </c>
      <c r="Y105">
        <v>61.1</v>
      </c>
      <c r="Z105">
        <v>38.9</v>
      </c>
      <c r="AA105" s="17">
        <f t="shared" si="5"/>
        <v>70677</v>
      </c>
      <c r="AB105">
        <f t="shared" si="6"/>
        <v>71310</v>
      </c>
      <c r="AC105" s="18">
        <f t="shared" si="7"/>
        <v>99</v>
      </c>
      <c r="AD105" s="22">
        <f t="shared" si="8"/>
        <v>99</v>
      </c>
    </row>
    <row r="106" spans="1:30" x14ac:dyDescent="0.25">
      <c r="A106" t="s">
        <v>269</v>
      </c>
      <c r="B106" s="20">
        <v>44854</v>
      </c>
      <c r="C106" t="s">
        <v>144</v>
      </c>
      <c r="D106" s="4">
        <v>38939</v>
      </c>
      <c r="E106" t="s">
        <v>23</v>
      </c>
      <c r="F106">
        <v>3</v>
      </c>
      <c r="G106" t="s">
        <v>29</v>
      </c>
      <c r="H106">
        <v>0</v>
      </c>
      <c r="I106">
        <v>45.8</v>
      </c>
      <c r="J106">
        <v>54.2</v>
      </c>
      <c r="K106">
        <v>9</v>
      </c>
      <c r="L106">
        <v>9</v>
      </c>
      <c r="M106">
        <v>6</v>
      </c>
      <c r="N106">
        <v>2</v>
      </c>
      <c r="O106">
        <v>1</v>
      </c>
      <c r="P106">
        <v>4</v>
      </c>
      <c r="Q106">
        <v>2</v>
      </c>
      <c r="R106">
        <v>3</v>
      </c>
      <c r="S106">
        <v>81.900000000000006</v>
      </c>
      <c r="T106">
        <v>84.9</v>
      </c>
      <c r="U106">
        <v>2</v>
      </c>
      <c r="V106">
        <v>0</v>
      </c>
      <c r="W106">
        <v>76.900000000000006</v>
      </c>
      <c r="X106">
        <v>60</v>
      </c>
      <c r="Y106">
        <v>54.5</v>
      </c>
      <c r="Z106">
        <v>45.5</v>
      </c>
      <c r="AA106" s="17">
        <f t="shared" si="5"/>
        <v>35939</v>
      </c>
      <c r="AB106">
        <f t="shared" si="6"/>
        <v>36572</v>
      </c>
      <c r="AC106" s="18">
        <f t="shared" si="7"/>
        <v>98</v>
      </c>
      <c r="AD106" s="22">
        <f t="shared" si="8"/>
        <v>98</v>
      </c>
    </row>
    <row r="107" spans="1:30" x14ac:dyDescent="0.25">
      <c r="A107" t="s">
        <v>269</v>
      </c>
      <c r="B107" s="20">
        <v>44854</v>
      </c>
      <c r="C107" t="s">
        <v>185</v>
      </c>
      <c r="D107" s="4">
        <v>53223</v>
      </c>
      <c r="E107" t="s">
        <v>19</v>
      </c>
      <c r="F107">
        <v>3</v>
      </c>
      <c r="G107" t="s">
        <v>126</v>
      </c>
      <c r="H107">
        <v>1</v>
      </c>
      <c r="I107">
        <v>48.4</v>
      </c>
      <c r="J107">
        <v>51.6</v>
      </c>
      <c r="K107">
        <v>10</v>
      </c>
      <c r="L107">
        <v>8</v>
      </c>
      <c r="M107">
        <v>4</v>
      </c>
      <c r="N107">
        <v>2</v>
      </c>
      <c r="O107">
        <v>3</v>
      </c>
      <c r="P107">
        <v>3</v>
      </c>
      <c r="Q107">
        <v>3</v>
      </c>
      <c r="R107">
        <v>3</v>
      </c>
      <c r="S107">
        <v>82.5</v>
      </c>
      <c r="T107">
        <v>84.5</v>
      </c>
      <c r="U107">
        <v>2</v>
      </c>
      <c r="V107">
        <v>1</v>
      </c>
      <c r="W107">
        <v>64.3</v>
      </c>
      <c r="X107">
        <v>37.5</v>
      </c>
      <c r="Y107">
        <v>11.1</v>
      </c>
      <c r="Z107">
        <v>88.9</v>
      </c>
      <c r="AA107" s="17">
        <f t="shared" si="5"/>
        <v>50223</v>
      </c>
      <c r="AB107">
        <f t="shared" si="6"/>
        <v>50400</v>
      </c>
      <c r="AC107" s="18">
        <f t="shared" si="7"/>
        <v>99</v>
      </c>
      <c r="AD107" s="22">
        <f t="shared" si="8"/>
        <v>99</v>
      </c>
    </row>
    <row r="108" spans="1:30" x14ac:dyDescent="0.25">
      <c r="A108" t="s">
        <v>268</v>
      </c>
      <c r="B108" s="20">
        <v>44856</v>
      </c>
      <c r="C108" t="s">
        <v>177</v>
      </c>
      <c r="D108" s="4">
        <v>31145</v>
      </c>
      <c r="E108" t="s">
        <v>28</v>
      </c>
      <c r="F108">
        <v>1</v>
      </c>
      <c r="G108" t="s">
        <v>20</v>
      </c>
      <c r="H108">
        <v>1</v>
      </c>
      <c r="I108">
        <v>40.700000000000003</v>
      </c>
      <c r="J108">
        <v>59.3</v>
      </c>
      <c r="K108">
        <v>10</v>
      </c>
      <c r="L108">
        <v>12</v>
      </c>
      <c r="M108">
        <v>3</v>
      </c>
      <c r="N108">
        <v>3</v>
      </c>
      <c r="O108">
        <v>3</v>
      </c>
      <c r="P108">
        <v>4</v>
      </c>
      <c r="Q108">
        <v>4</v>
      </c>
      <c r="R108">
        <v>5</v>
      </c>
      <c r="S108">
        <v>80.400000000000006</v>
      </c>
      <c r="T108">
        <v>86.1</v>
      </c>
      <c r="U108">
        <v>1</v>
      </c>
      <c r="V108">
        <v>3</v>
      </c>
      <c r="W108">
        <v>66.7</v>
      </c>
      <c r="X108">
        <v>56.3</v>
      </c>
      <c r="Y108">
        <v>50</v>
      </c>
      <c r="Z108">
        <v>50</v>
      </c>
      <c r="AA108" s="17">
        <f t="shared" si="5"/>
        <v>28145</v>
      </c>
      <c r="AB108">
        <f t="shared" si="6"/>
        <v>29384</v>
      </c>
      <c r="AC108" s="18">
        <f t="shared" si="7"/>
        <v>95</v>
      </c>
      <c r="AD108" s="22">
        <f t="shared" si="8"/>
        <v>95</v>
      </c>
    </row>
    <row r="109" spans="1:30" x14ac:dyDescent="0.25">
      <c r="A109" t="s">
        <v>269</v>
      </c>
      <c r="B109" s="20">
        <v>44856</v>
      </c>
      <c r="C109" t="s">
        <v>189</v>
      </c>
      <c r="D109" s="4">
        <v>29245</v>
      </c>
      <c r="E109" t="s">
        <v>123</v>
      </c>
      <c r="F109">
        <v>1</v>
      </c>
      <c r="G109" t="s">
        <v>17</v>
      </c>
      <c r="H109">
        <v>0</v>
      </c>
      <c r="I109">
        <v>24.8</v>
      </c>
      <c r="J109">
        <v>75.2</v>
      </c>
      <c r="K109">
        <v>10</v>
      </c>
      <c r="L109">
        <v>15</v>
      </c>
      <c r="M109">
        <v>7</v>
      </c>
      <c r="N109">
        <v>7</v>
      </c>
      <c r="O109">
        <v>1</v>
      </c>
      <c r="P109">
        <v>7</v>
      </c>
      <c r="Q109">
        <v>2</v>
      </c>
      <c r="R109">
        <v>1</v>
      </c>
      <c r="S109">
        <v>63.9</v>
      </c>
      <c r="T109">
        <v>86.1</v>
      </c>
      <c r="U109">
        <v>4</v>
      </c>
      <c r="V109">
        <v>4</v>
      </c>
      <c r="W109">
        <v>78.900000000000006</v>
      </c>
      <c r="X109">
        <v>50</v>
      </c>
      <c r="Y109">
        <v>50</v>
      </c>
      <c r="Z109">
        <v>50</v>
      </c>
      <c r="AA109" s="17">
        <f t="shared" si="5"/>
        <v>26245</v>
      </c>
      <c r="AB109">
        <f t="shared" si="6"/>
        <v>27445</v>
      </c>
      <c r="AC109" s="18">
        <f t="shared" si="7"/>
        <v>95</v>
      </c>
      <c r="AD109" s="22">
        <f t="shared" si="8"/>
        <v>95</v>
      </c>
    </row>
    <row r="110" spans="1:30" x14ac:dyDescent="0.25">
      <c r="A110" t="s">
        <v>268</v>
      </c>
      <c r="B110" s="20">
        <v>44856</v>
      </c>
      <c r="C110" t="s">
        <v>152</v>
      </c>
      <c r="D110" s="4">
        <v>31425</v>
      </c>
      <c r="E110" t="s">
        <v>173</v>
      </c>
      <c r="F110">
        <v>0</v>
      </c>
      <c r="G110" t="s">
        <v>36</v>
      </c>
      <c r="H110">
        <v>4</v>
      </c>
      <c r="I110">
        <v>60.9</v>
      </c>
      <c r="J110">
        <v>39.1</v>
      </c>
      <c r="K110">
        <v>21</v>
      </c>
      <c r="L110">
        <v>5</v>
      </c>
      <c r="M110">
        <v>6</v>
      </c>
      <c r="N110">
        <v>4</v>
      </c>
      <c r="O110">
        <v>7</v>
      </c>
      <c r="P110">
        <v>1</v>
      </c>
      <c r="Q110">
        <v>8</v>
      </c>
      <c r="R110">
        <v>0</v>
      </c>
      <c r="S110">
        <v>85.3</v>
      </c>
      <c r="T110">
        <v>72.599999999999994</v>
      </c>
      <c r="U110">
        <v>2</v>
      </c>
      <c r="V110">
        <v>2</v>
      </c>
      <c r="W110">
        <v>63.6</v>
      </c>
      <c r="X110">
        <v>34.799999999999997</v>
      </c>
      <c r="Y110">
        <v>65.400000000000006</v>
      </c>
      <c r="Z110">
        <v>34.6</v>
      </c>
      <c r="AA110" s="17">
        <f t="shared" si="5"/>
        <v>28425</v>
      </c>
      <c r="AB110">
        <f t="shared" si="6"/>
        <v>29050</v>
      </c>
      <c r="AC110" s="18">
        <f t="shared" si="7"/>
        <v>97</v>
      </c>
      <c r="AD110" s="22">
        <f t="shared" si="8"/>
        <v>97</v>
      </c>
    </row>
    <row r="111" spans="1:30" x14ac:dyDescent="0.25">
      <c r="A111" t="s">
        <v>268</v>
      </c>
      <c r="B111" s="20">
        <v>44856</v>
      </c>
      <c r="C111" t="s">
        <v>187</v>
      </c>
      <c r="D111" s="4">
        <v>61726</v>
      </c>
      <c r="E111" t="s">
        <v>129</v>
      </c>
      <c r="F111">
        <v>1</v>
      </c>
      <c r="G111" t="s">
        <v>128</v>
      </c>
      <c r="H111">
        <v>2</v>
      </c>
      <c r="I111">
        <v>52.4</v>
      </c>
      <c r="J111">
        <v>47.6</v>
      </c>
      <c r="K111">
        <v>17</v>
      </c>
      <c r="L111">
        <v>13</v>
      </c>
      <c r="M111">
        <v>5</v>
      </c>
      <c r="N111">
        <v>5</v>
      </c>
      <c r="O111">
        <v>4</v>
      </c>
      <c r="P111">
        <v>3</v>
      </c>
      <c r="Q111">
        <v>8</v>
      </c>
      <c r="R111">
        <v>5</v>
      </c>
      <c r="S111">
        <v>79</v>
      </c>
      <c r="T111">
        <v>81.2</v>
      </c>
      <c r="U111">
        <v>2</v>
      </c>
      <c r="V111">
        <v>1</v>
      </c>
      <c r="W111">
        <v>58.8</v>
      </c>
      <c r="X111">
        <v>73.3</v>
      </c>
      <c r="Y111">
        <v>54.3</v>
      </c>
      <c r="Z111">
        <v>45.7</v>
      </c>
      <c r="AA111" s="17">
        <f t="shared" si="5"/>
        <v>58726</v>
      </c>
      <c r="AB111">
        <f t="shared" si="6"/>
        <v>59850</v>
      </c>
      <c r="AC111" s="18">
        <f t="shared" si="7"/>
        <v>98</v>
      </c>
      <c r="AD111" s="22">
        <f t="shared" si="8"/>
        <v>98</v>
      </c>
    </row>
    <row r="112" spans="1:30" x14ac:dyDescent="0.25">
      <c r="A112" t="s">
        <v>266</v>
      </c>
      <c r="B112" s="20">
        <v>44857</v>
      </c>
      <c r="C112" t="s">
        <v>145</v>
      </c>
      <c r="D112" s="4">
        <v>23534</v>
      </c>
      <c r="E112" t="s">
        <v>44</v>
      </c>
      <c r="F112">
        <v>0</v>
      </c>
      <c r="G112" t="s">
        <v>23</v>
      </c>
      <c r="H112">
        <v>0</v>
      </c>
      <c r="I112">
        <v>56.5</v>
      </c>
      <c r="J112">
        <v>43.5</v>
      </c>
      <c r="K112">
        <v>24</v>
      </c>
      <c r="L112">
        <v>9</v>
      </c>
      <c r="M112">
        <v>6</v>
      </c>
      <c r="N112">
        <v>4</v>
      </c>
      <c r="O112">
        <v>10</v>
      </c>
      <c r="P112">
        <v>3</v>
      </c>
      <c r="Q112">
        <v>8</v>
      </c>
      <c r="R112">
        <v>2</v>
      </c>
      <c r="S112">
        <v>83.4</v>
      </c>
      <c r="T112">
        <v>79.7</v>
      </c>
      <c r="U112">
        <v>0</v>
      </c>
      <c r="V112">
        <v>2</v>
      </c>
      <c r="W112">
        <v>50</v>
      </c>
      <c r="X112">
        <v>60</v>
      </c>
      <c r="Y112">
        <v>63.6</v>
      </c>
      <c r="Z112">
        <v>36.4</v>
      </c>
      <c r="AA112" s="17">
        <f t="shared" si="5"/>
        <v>20534</v>
      </c>
      <c r="AB112">
        <f t="shared" si="6"/>
        <v>25700</v>
      </c>
      <c r="AC112" s="18">
        <f t="shared" si="7"/>
        <v>79</v>
      </c>
      <c r="AD112" s="22">
        <f t="shared" si="8"/>
        <v>79</v>
      </c>
    </row>
    <row r="113" spans="1:30" x14ac:dyDescent="0.25">
      <c r="A113" t="s">
        <v>266</v>
      </c>
      <c r="B113" s="20">
        <v>44857</v>
      </c>
      <c r="C113" t="s">
        <v>146</v>
      </c>
      <c r="D113" s="4">
        <v>53274</v>
      </c>
      <c r="E113" t="s">
        <v>17</v>
      </c>
      <c r="F113">
        <v>1</v>
      </c>
      <c r="G113" t="s">
        <v>27</v>
      </c>
      <c r="H113">
        <v>2</v>
      </c>
      <c r="I113">
        <v>69</v>
      </c>
      <c r="J113">
        <v>31</v>
      </c>
      <c r="K113">
        <v>22</v>
      </c>
      <c r="L113">
        <v>14</v>
      </c>
      <c r="M113">
        <v>10</v>
      </c>
      <c r="N113">
        <v>6</v>
      </c>
      <c r="O113">
        <v>8</v>
      </c>
      <c r="P113">
        <v>6</v>
      </c>
      <c r="Q113">
        <v>4</v>
      </c>
      <c r="R113">
        <v>2</v>
      </c>
      <c r="S113">
        <v>81.599999999999994</v>
      </c>
      <c r="T113">
        <v>63.2</v>
      </c>
      <c r="U113">
        <v>3</v>
      </c>
      <c r="V113">
        <v>1</v>
      </c>
      <c r="W113">
        <v>52.9</v>
      </c>
      <c r="X113">
        <v>33.299999999999997</v>
      </c>
      <c r="Y113">
        <v>50</v>
      </c>
      <c r="Z113">
        <v>50</v>
      </c>
      <c r="AA113" s="17">
        <f t="shared" si="5"/>
        <v>50274</v>
      </c>
      <c r="AB113">
        <f t="shared" si="6"/>
        <v>58000</v>
      </c>
      <c r="AC113" s="18">
        <f t="shared" si="7"/>
        <v>86</v>
      </c>
      <c r="AD113" s="22">
        <f t="shared" si="8"/>
        <v>86</v>
      </c>
    </row>
    <row r="114" spans="1:30" x14ac:dyDescent="0.25">
      <c r="A114" t="s">
        <v>267</v>
      </c>
      <c r="B114" s="20">
        <v>44857</v>
      </c>
      <c r="C114" t="s">
        <v>184</v>
      </c>
      <c r="D114" s="4">
        <v>62447</v>
      </c>
      <c r="E114" t="s">
        <v>130</v>
      </c>
      <c r="F114">
        <v>2</v>
      </c>
      <c r="G114" t="s">
        <v>57</v>
      </c>
      <c r="H114">
        <v>0</v>
      </c>
      <c r="I114">
        <v>54.4</v>
      </c>
      <c r="J114">
        <v>45.6</v>
      </c>
      <c r="K114">
        <v>20</v>
      </c>
      <c r="L114">
        <v>5</v>
      </c>
      <c r="M114">
        <v>4</v>
      </c>
      <c r="N114">
        <v>3</v>
      </c>
      <c r="O114">
        <v>8</v>
      </c>
      <c r="P114">
        <v>2</v>
      </c>
      <c r="Q114">
        <v>8</v>
      </c>
      <c r="R114">
        <v>0</v>
      </c>
      <c r="S114">
        <v>84.7</v>
      </c>
      <c r="T114">
        <v>83.1</v>
      </c>
      <c r="U114">
        <v>1</v>
      </c>
      <c r="V114">
        <v>1</v>
      </c>
      <c r="W114">
        <v>45.5</v>
      </c>
      <c r="X114">
        <v>76.2</v>
      </c>
      <c r="Y114">
        <v>48.6</v>
      </c>
      <c r="Z114">
        <v>51.4</v>
      </c>
      <c r="AA114" s="17">
        <f t="shared" si="5"/>
        <v>59447</v>
      </c>
      <c r="AB114">
        <f t="shared" si="6"/>
        <v>65013</v>
      </c>
      <c r="AC114" s="18">
        <f t="shared" si="7"/>
        <v>91</v>
      </c>
      <c r="AD114" s="22">
        <f t="shared" si="8"/>
        <v>91</v>
      </c>
    </row>
    <row r="115" spans="1:30" x14ac:dyDescent="0.25">
      <c r="A115" t="s">
        <v>268</v>
      </c>
      <c r="B115" s="20">
        <v>44857</v>
      </c>
      <c r="C115" t="s">
        <v>175</v>
      </c>
      <c r="D115" s="4">
        <v>36447</v>
      </c>
      <c r="E115" t="s">
        <v>27</v>
      </c>
      <c r="F115">
        <v>2</v>
      </c>
      <c r="G115" t="s">
        <v>44</v>
      </c>
      <c r="H115">
        <v>3</v>
      </c>
      <c r="I115">
        <v>57.2</v>
      </c>
      <c r="J115">
        <v>42.8</v>
      </c>
      <c r="K115">
        <v>14</v>
      </c>
      <c r="L115">
        <v>11</v>
      </c>
      <c r="M115">
        <v>5</v>
      </c>
      <c r="N115">
        <v>5</v>
      </c>
      <c r="O115">
        <v>4</v>
      </c>
      <c r="P115">
        <v>3</v>
      </c>
      <c r="Q115">
        <v>5</v>
      </c>
      <c r="R115">
        <v>3</v>
      </c>
      <c r="S115">
        <v>79.900000000000006</v>
      </c>
      <c r="T115">
        <v>71.8</v>
      </c>
      <c r="U115">
        <v>3</v>
      </c>
      <c r="V115">
        <v>5</v>
      </c>
      <c r="W115">
        <v>40.9</v>
      </c>
      <c r="X115">
        <v>56.3</v>
      </c>
      <c r="Y115">
        <v>45.2</v>
      </c>
      <c r="Z115">
        <v>54.8</v>
      </c>
      <c r="AA115" s="17">
        <f t="shared" si="5"/>
        <v>33447</v>
      </c>
      <c r="AB115">
        <f t="shared" si="6"/>
        <v>35220</v>
      </c>
      <c r="AC115" s="18">
        <f t="shared" si="7"/>
        <v>94</v>
      </c>
      <c r="AD115" s="22">
        <f t="shared" si="8"/>
        <v>94</v>
      </c>
    </row>
    <row r="116" spans="1:30" x14ac:dyDescent="0.25">
      <c r="A116" t="s">
        <v>268</v>
      </c>
      <c r="B116" s="20">
        <v>44857</v>
      </c>
      <c r="C116" t="s">
        <v>138</v>
      </c>
      <c r="D116" s="4">
        <v>41693</v>
      </c>
      <c r="E116" t="s">
        <v>12</v>
      </c>
      <c r="F116">
        <v>4</v>
      </c>
      <c r="G116" t="s">
        <v>60</v>
      </c>
      <c r="H116">
        <v>0</v>
      </c>
      <c r="I116">
        <v>45.1</v>
      </c>
      <c r="J116">
        <v>54.9</v>
      </c>
      <c r="K116">
        <v>19</v>
      </c>
      <c r="L116">
        <v>12</v>
      </c>
      <c r="M116">
        <v>11</v>
      </c>
      <c r="N116">
        <v>3</v>
      </c>
      <c r="O116">
        <v>3</v>
      </c>
      <c r="P116">
        <v>5</v>
      </c>
      <c r="Q116">
        <v>5</v>
      </c>
      <c r="R116">
        <v>4</v>
      </c>
      <c r="S116">
        <v>75.099999999999994</v>
      </c>
      <c r="T116">
        <v>76.099999999999994</v>
      </c>
      <c r="U116">
        <v>2</v>
      </c>
      <c r="V116">
        <v>1</v>
      </c>
      <c r="W116">
        <v>60</v>
      </c>
      <c r="X116">
        <v>50</v>
      </c>
      <c r="Y116">
        <v>41.7</v>
      </c>
      <c r="Z116">
        <v>58.3</v>
      </c>
      <c r="AA116" s="17">
        <f t="shared" si="5"/>
        <v>38693</v>
      </c>
      <c r="AB116">
        <f t="shared" si="6"/>
        <v>39000</v>
      </c>
      <c r="AC116" s="18">
        <f t="shared" si="7"/>
        <v>99</v>
      </c>
      <c r="AD116" s="22">
        <f t="shared" si="8"/>
        <v>99</v>
      </c>
    </row>
    <row r="117" spans="1:30" x14ac:dyDescent="0.25">
      <c r="A117" t="s">
        <v>266</v>
      </c>
      <c r="B117" s="20">
        <v>44858</v>
      </c>
      <c r="C117" t="s">
        <v>182</v>
      </c>
      <c r="D117" s="4">
        <v>52233</v>
      </c>
      <c r="E117" t="s">
        <v>128</v>
      </c>
      <c r="F117">
        <v>4</v>
      </c>
      <c r="G117" t="s">
        <v>12</v>
      </c>
      <c r="H117">
        <v>0</v>
      </c>
      <c r="I117">
        <v>59.5</v>
      </c>
      <c r="J117">
        <v>40.5</v>
      </c>
      <c r="K117">
        <v>20</v>
      </c>
      <c r="L117">
        <v>3</v>
      </c>
      <c r="M117">
        <v>7</v>
      </c>
      <c r="N117">
        <v>0</v>
      </c>
      <c r="O117">
        <v>10</v>
      </c>
      <c r="P117">
        <v>0</v>
      </c>
      <c r="Q117">
        <v>3</v>
      </c>
      <c r="R117">
        <v>3</v>
      </c>
      <c r="S117">
        <v>78.8</v>
      </c>
      <c r="T117">
        <v>73.900000000000006</v>
      </c>
      <c r="U117">
        <v>3</v>
      </c>
      <c r="V117">
        <v>0</v>
      </c>
      <c r="W117">
        <v>60</v>
      </c>
      <c r="X117">
        <v>47.4</v>
      </c>
      <c r="Y117">
        <v>61.9</v>
      </c>
      <c r="Z117">
        <v>38.1</v>
      </c>
      <c r="AA117" s="17">
        <f t="shared" si="5"/>
        <v>49233</v>
      </c>
      <c r="AB117">
        <f t="shared" si="6"/>
        <v>49350</v>
      </c>
      <c r="AC117" s="18">
        <f t="shared" si="7"/>
        <v>99</v>
      </c>
      <c r="AD117" s="22">
        <f t="shared" si="8"/>
        <v>99</v>
      </c>
    </row>
    <row r="118" spans="1:30" x14ac:dyDescent="0.25">
      <c r="A118" t="s">
        <v>266</v>
      </c>
      <c r="B118" s="20">
        <v>44863</v>
      </c>
      <c r="C118" t="s">
        <v>188</v>
      </c>
      <c r="D118" s="4">
        <v>10430</v>
      </c>
      <c r="E118" t="s">
        <v>57</v>
      </c>
      <c r="F118">
        <v>2</v>
      </c>
      <c r="G118" t="s">
        <v>129</v>
      </c>
      <c r="H118">
        <v>3</v>
      </c>
      <c r="I118">
        <v>30.6</v>
      </c>
      <c r="J118">
        <v>69.400000000000006</v>
      </c>
      <c r="K118">
        <v>6</v>
      </c>
      <c r="L118">
        <v>23</v>
      </c>
      <c r="M118">
        <v>4</v>
      </c>
      <c r="N118">
        <v>7</v>
      </c>
      <c r="O118">
        <v>2</v>
      </c>
      <c r="P118">
        <v>10</v>
      </c>
      <c r="Q118">
        <v>0</v>
      </c>
      <c r="R118">
        <v>6</v>
      </c>
      <c r="S118">
        <v>76.400000000000006</v>
      </c>
      <c r="T118">
        <v>89.9</v>
      </c>
      <c r="U118">
        <v>2</v>
      </c>
      <c r="V118">
        <v>2</v>
      </c>
      <c r="W118">
        <v>50</v>
      </c>
      <c r="X118">
        <v>43.8</v>
      </c>
      <c r="Y118">
        <v>52.2</v>
      </c>
      <c r="Z118">
        <v>47.8</v>
      </c>
      <c r="AA118" s="17">
        <f t="shared" si="5"/>
        <v>7430</v>
      </c>
      <c r="AB118">
        <f t="shared" si="6"/>
        <v>9879</v>
      </c>
      <c r="AC118" s="18">
        <f t="shared" si="7"/>
        <v>75</v>
      </c>
      <c r="AD118" s="22">
        <f t="shared" si="8"/>
        <v>75</v>
      </c>
    </row>
    <row r="119" spans="1:30" x14ac:dyDescent="0.25">
      <c r="A119" t="s">
        <v>266</v>
      </c>
      <c r="B119" s="20">
        <v>44863</v>
      </c>
      <c r="C119" t="s">
        <v>174</v>
      </c>
      <c r="D119" s="4">
        <v>17051</v>
      </c>
      <c r="E119" t="s">
        <v>60</v>
      </c>
      <c r="F119">
        <v>1</v>
      </c>
      <c r="G119" t="s">
        <v>173</v>
      </c>
      <c r="H119">
        <v>1</v>
      </c>
      <c r="I119">
        <v>57.8</v>
      </c>
      <c r="J119">
        <v>42.2</v>
      </c>
      <c r="K119">
        <v>12</v>
      </c>
      <c r="L119">
        <v>13</v>
      </c>
      <c r="M119">
        <v>3</v>
      </c>
      <c r="N119">
        <v>4</v>
      </c>
      <c r="O119">
        <v>6</v>
      </c>
      <c r="P119">
        <v>6</v>
      </c>
      <c r="Q119">
        <v>3</v>
      </c>
      <c r="R119">
        <v>3</v>
      </c>
      <c r="S119">
        <v>80.400000000000006</v>
      </c>
      <c r="T119">
        <v>75.3</v>
      </c>
      <c r="U119">
        <v>1</v>
      </c>
      <c r="V119">
        <v>0</v>
      </c>
      <c r="W119">
        <v>52.9</v>
      </c>
      <c r="X119">
        <v>35.299999999999997</v>
      </c>
      <c r="Y119">
        <v>62.1</v>
      </c>
      <c r="Z119">
        <v>37.9</v>
      </c>
      <c r="AA119" s="17">
        <f t="shared" si="5"/>
        <v>14051</v>
      </c>
      <c r="AB119">
        <f t="shared" si="6"/>
        <v>15250</v>
      </c>
      <c r="AC119" s="18">
        <f t="shared" si="7"/>
        <v>92</v>
      </c>
      <c r="AD119" s="22">
        <f t="shared" si="8"/>
        <v>92</v>
      </c>
    </row>
    <row r="120" spans="1:30" x14ac:dyDescent="0.25">
      <c r="A120" t="s">
        <v>266</v>
      </c>
      <c r="B120" s="20">
        <v>44863</v>
      </c>
      <c r="C120" t="s">
        <v>143</v>
      </c>
      <c r="D120" s="4">
        <v>25130</v>
      </c>
      <c r="E120" t="s">
        <v>29</v>
      </c>
      <c r="F120">
        <v>1</v>
      </c>
      <c r="G120" t="s">
        <v>28</v>
      </c>
      <c r="H120">
        <v>0</v>
      </c>
      <c r="I120">
        <v>44.4</v>
      </c>
      <c r="J120">
        <v>55.6</v>
      </c>
      <c r="K120">
        <v>12</v>
      </c>
      <c r="L120">
        <v>14</v>
      </c>
      <c r="M120">
        <v>3</v>
      </c>
      <c r="N120">
        <v>4</v>
      </c>
      <c r="O120">
        <v>4</v>
      </c>
      <c r="P120">
        <v>6</v>
      </c>
      <c r="Q120">
        <v>5</v>
      </c>
      <c r="R120">
        <v>4</v>
      </c>
      <c r="S120">
        <v>72.099999999999994</v>
      </c>
      <c r="T120">
        <v>81.3</v>
      </c>
      <c r="U120">
        <v>1</v>
      </c>
      <c r="V120">
        <v>3</v>
      </c>
      <c r="W120">
        <v>69.599999999999994</v>
      </c>
      <c r="X120">
        <v>65</v>
      </c>
      <c r="Y120">
        <v>50</v>
      </c>
      <c r="Z120">
        <v>50</v>
      </c>
      <c r="AA120" s="17">
        <f t="shared" si="5"/>
        <v>22130</v>
      </c>
      <c r="AB120">
        <f t="shared" si="6"/>
        <v>23486</v>
      </c>
      <c r="AC120" s="18">
        <f t="shared" si="7"/>
        <v>94</v>
      </c>
      <c r="AD120" s="22">
        <f t="shared" si="8"/>
        <v>94</v>
      </c>
    </row>
    <row r="121" spans="1:30" x14ac:dyDescent="0.25">
      <c r="A121" t="s">
        <v>264</v>
      </c>
      <c r="B121" s="20">
        <v>44863</v>
      </c>
      <c r="C121" t="s">
        <v>144</v>
      </c>
      <c r="D121" s="4">
        <v>39206</v>
      </c>
      <c r="E121" t="s">
        <v>23</v>
      </c>
      <c r="F121">
        <v>0</v>
      </c>
      <c r="G121" t="s">
        <v>36</v>
      </c>
      <c r="H121">
        <v>2</v>
      </c>
      <c r="I121">
        <v>48.4</v>
      </c>
      <c r="J121">
        <v>51.6</v>
      </c>
      <c r="K121">
        <v>12</v>
      </c>
      <c r="L121">
        <v>22</v>
      </c>
      <c r="M121">
        <v>2</v>
      </c>
      <c r="N121">
        <v>8</v>
      </c>
      <c r="O121">
        <v>5</v>
      </c>
      <c r="P121">
        <v>7</v>
      </c>
      <c r="Q121">
        <v>5</v>
      </c>
      <c r="R121">
        <v>7</v>
      </c>
      <c r="S121">
        <v>80.5</v>
      </c>
      <c r="T121">
        <v>85.4</v>
      </c>
      <c r="U121">
        <v>2</v>
      </c>
      <c r="V121">
        <v>3</v>
      </c>
      <c r="W121">
        <v>50</v>
      </c>
      <c r="X121">
        <v>61.5</v>
      </c>
      <c r="Y121">
        <v>76</v>
      </c>
      <c r="Z121">
        <v>24</v>
      </c>
      <c r="AA121" s="17">
        <f t="shared" si="5"/>
        <v>36206</v>
      </c>
      <c r="AB121">
        <f t="shared" si="6"/>
        <v>36572</v>
      </c>
      <c r="AC121" s="18">
        <f t="shared" si="7"/>
        <v>98</v>
      </c>
      <c r="AD121" s="22">
        <f t="shared" si="8"/>
        <v>98</v>
      </c>
    </row>
    <row r="122" spans="1:30" x14ac:dyDescent="0.25">
      <c r="A122" t="s">
        <v>265</v>
      </c>
      <c r="B122" s="20">
        <v>44863</v>
      </c>
      <c r="C122" t="s">
        <v>172</v>
      </c>
      <c r="D122" s="4">
        <v>60263</v>
      </c>
      <c r="E122" t="s">
        <v>20</v>
      </c>
      <c r="F122">
        <v>5</v>
      </c>
      <c r="G122" t="s">
        <v>123</v>
      </c>
      <c r="H122">
        <v>0</v>
      </c>
      <c r="I122">
        <v>69.099999999999994</v>
      </c>
      <c r="J122">
        <v>30.9</v>
      </c>
      <c r="K122">
        <v>24</v>
      </c>
      <c r="L122">
        <v>5</v>
      </c>
      <c r="M122">
        <v>10</v>
      </c>
      <c r="N122">
        <v>2</v>
      </c>
      <c r="O122">
        <v>5</v>
      </c>
      <c r="P122">
        <v>2</v>
      </c>
      <c r="Q122">
        <v>9</v>
      </c>
      <c r="R122">
        <v>1</v>
      </c>
      <c r="S122">
        <v>89.2</v>
      </c>
      <c r="T122">
        <v>75.599999999999994</v>
      </c>
      <c r="U122">
        <v>3</v>
      </c>
      <c r="V122">
        <v>0</v>
      </c>
      <c r="W122">
        <v>64.3</v>
      </c>
      <c r="X122">
        <v>56</v>
      </c>
      <c r="Y122">
        <v>43.5</v>
      </c>
      <c r="Z122">
        <v>56.5</v>
      </c>
      <c r="AA122" s="17">
        <f t="shared" si="5"/>
        <v>57263</v>
      </c>
      <c r="AB122">
        <f t="shared" si="6"/>
        <v>57704</v>
      </c>
      <c r="AC122" s="18">
        <f t="shared" si="7"/>
        <v>99</v>
      </c>
      <c r="AD122" s="22">
        <f t="shared" si="8"/>
        <v>99</v>
      </c>
    </row>
    <row r="123" spans="1:30" x14ac:dyDescent="0.25">
      <c r="A123" t="s">
        <v>265</v>
      </c>
      <c r="B123" s="20">
        <v>44863</v>
      </c>
      <c r="C123" t="s">
        <v>148</v>
      </c>
      <c r="D123" s="4">
        <v>73682</v>
      </c>
      <c r="E123" t="s">
        <v>127</v>
      </c>
      <c r="F123">
        <v>1</v>
      </c>
      <c r="G123" t="s">
        <v>130</v>
      </c>
      <c r="H123">
        <v>0</v>
      </c>
      <c r="I123">
        <v>53</v>
      </c>
      <c r="J123">
        <v>47</v>
      </c>
      <c r="K123">
        <v>16</v>
      </c>
      <c r="L123">
        <v>13</v>
      </c>
      <c r="M123">
        <v>3</v>
      </c>
      <c r="N123">
        <v>5</v>
      </c>
      <c r="O123">
        <v>7</v>
      </c>
      <c r="P123">
        <v>2</v>
      </c>
      <c r="Q123">
        <v>6</v>
      </c>
      <c r="R123">
        <v>6</v>
      </c>
      <c r="S123">
        <v>82.7</v>
      </c>
      <c r="T123">
        <v>82.8</v>
      </c>
      <c r="U123">
        <v>3</v>
      </c>
      <c r="V123">
        <v>1</v>
      </c>
      <c r="W123">
        <v>83.3</v>
      </c>
      <c r="X123">
        <v>53.8</v>
      </c>
      <c r="Y123">
        <v>53.3</v>
      </c>
      <c r="Z123">
        <v>46.7</v>
      </c>
      <c r="AA123" s="17">
        <f t="shared" si="5"/>
        <v>70682</v>
      </c>
      <c r="AB123">
        <f t="shared" si="6"/>
        <v>71310</v>
      </c>
      <c r="AC123" s="18">
        <f t="shared" si="7"/>
        <v>99</v>
      </c>
      <c r="AD123" s="22">
        <f t="shared" si="8"/>
        <v>99</v>
      </c>
    </row>
    <row r="124" spans="1:30" x14ac:dyDescent="0.25">
      <c r="A124" t="s">
        <v>266</v>
      </c>
      <c r="B124" s="20">
        <v>44863</v>
      </c>
      <c r="C124" t="s">
        <v>176</v>
      </c>
      <c r="D124" s="4">
        <v>32223</v>
      </c>
      <c r="E124" t="s">
        <v>36</v>
      </c>
      <c r="F124">
        <v>0</v>
      </c>
      <c r="G124" t="s">
        <v>19</v>
      </c>
      <c r="H124">
        <v>1</v>
      </c>
      <c r="I124">
        <v>35.700000000000003</v>
      </c>
      <c r="J124">
        <v>64.3</v>
      </c>
      <c r="K124">
        <v>10</v>
      </c>
      <c r="L124">
        <v>15</v>
      </c>
      <c r="M124">
        <v>5</v>
      </c>
      <c r="N124">
        <v>5</v>
      </c>
      <c r="O124">
        <v>4</v>
      </c>
      <c r="P124">
        <v>6</v>
      </c>
      <c r="Q124">
        <v>1</v>
      </c>
      <c r="R124">
        <v>4</v>
      </c>
      <c r="S124">
        <v>80.3</v>
      </c>
      <c r="T124">
        <v>90</v>
      </c>
      <c r="U124">
        <v>1</v>
      </c>
      <c r="V124">
        <v>0</v>
      </c>
      <c r="W124">
        <v>75</v>
      </c>
      <c r="X124">
        <v>57.1</v>
      </c>
      <c r="Y124">
        <v>45.8</v>
      </c>
      <c r="Z124">
        <v>54.2</v>
      </c>
      <c r="AA124" s="17">
        <f t="shared" si="5"/>
        <v>29223</v>
      </c>
      <c r="AB124">
        <f t="shared" si="6"/>
        <v>29261</v>
      </c>
      <c r="AC124" s="18">
        <f t="shared" si="7"/>
        <v>99</v>
      </c>
      <c r="AD124" s="22">
        <f t="shared" si="8"/>
        <v>99</v>
      </c>
    </row>
    <row r="125" spans="1:30" x14ac:dyDescent="0.25">
      <c r="A125" t="s">
        <v>266</v>
      </c>
      <c r="B125" s="20">
        <v>44863</v>
      </c>
      <c r="C125" t="s">
        <v>180</v>
      </c>
      <c r="D125" s="4">
        <v>31746</v>
      </c>
      <c r="E125" t="s">
        <v>126</v>
      </c>
      <c r="F125">
        <v>4</v>
      </c>
      <c r="G125" t="s">
        <v>21</v>
      </c>
      <c r="H125">
        <v>1</v>
      </c>
      <c r="I125">
        <v>41</v>
      </c>
      <c r="J125">
        <v>59</v>
      </c>
      <c r="K125">
        <v>19</v>
      </c>
      <c r="L125">
        <v>15</v>
      </c>
      <c r="M125">
        <v>9</v>
      </c>
      <c r="N125">
        <v>7</v>
      </c>
      <c r="O125">
        <v>7</v>
      </c>
      <c r="P125">
        <v>5</v>
      </c>
      <c r="Q125">
        <v>3</v>
      </c>
      <c r="R125">
        <v>3</v>
      </c>
      <c r="S125">
        <v>79.099999999999994</v>
      </c>
      <c r="T125">
        <v>86</v>
      </c>
      <c r="U125">
        <v>2</v>
      </c>
      <c r="V125">
        <v>1</v>
      </c>
      <c r="W125">
        <v>61.1</v>
      </c>
      <c r="X125">
        <v>50</v>
      </c>
      <c r="Y125">
        <v>47.8</v>
      </c>
      <c r="Z125">
        <v>52.2</v>
      </c>
      <c r="AA125" s="17">
        <f t="shared" si="5"/>
        <v>28746</v>
      </c>
      <c r="AB125">
        <f t="shared" si="6"/>
        <v>28876</v>
      </c>
      <c r="AC125" s="18">
        <f t="shared" si="7"/>
        <v>99</v>
      </c>
      <c r="AD125" s="22">
        <f t="shared" si="8"/>
        <v>99</v>
      </c>
    </row>
    <row r="126" spans="1:30" x14ac:dyDescent="0.25">
      <c r="A126" t="s">
        <v>264</v>
      </c>
      <c r="B126" s="20">
        <v>44864</v>
      </c>
      <c r="C126" t="s">
        <v>189</v>
      </c>
      <c r="D126" s="4">
        <v>28869</v>
      </c>
      <c r="E126" t="s">
        <v>123</v>
      </c>
      <c r="F126">
        <v>2</v>
      </c>
      <c r="G126" t="s">
        <v>60</v>
      </c>
      <c r="H126">
        <v>2</v>
      </c>
      <c r="I126">
        <v>47.2</v>
      </c>
      <c r="J126">
        <v>52.8</v>
      </c>
      <c r="K126">
        <v>15</v>
      </c>
      <c r="L126">
        <v>6</v>
      </c>
      <c r="M126">
        <v>7</v>
      </c>
      <c r="N126">
        <v>2</v>
      </c>
      <c r="O126">
        <v>6</v>
      </c>
      <c r="P126">
        <v>3</v>
      </c>
      <c r="Q126">
        <v>2</v>
      </c>
      <c r="R126">
        <v>1</v>
      </c>
      <c r="S126">
        <v>75.7</v>
      </c>
      <c r="T126">
        <v>76.900000000000006</v>
      </c>
      <c r="U126">
        <v>2</v>
      </c>
      <c r="V126">
        <v>1</v>
      </c>
      <c r="W126">
        <v>61.1</v>
      </c>
      <c r="X126">
        <v>75</v>
      </c>
      <c r="Y126">
        <v>53.3</v>
      </c>
      <c r="Z126">
        <v>46.7</v>
      </c>
      <c r="AA126" s="17">
        <f t="shared" si="5"/>
        <v>25869</v>
      </c>
      <c r="AB126">
        <f t="shared" si="6"/>
        <v>27445</v>
      </c>
      <c r="AC126" s="18">
        <f t="shared" si="7"/>
        <v>94</v>
      </c>
      <c r="AD126" s="22">
        <f t="shared" si="8"/>
        <v>94</v>
      </c>
    </row>
    <row r="127" spans="1:30" x14ac:dyDescent="0.25">
      <c r="A127" t="s">
        <v>264</v>
      </c>
      <c r="B127" s="20">
        <v>44864</v>
      </c>
      <c r="C127" t="s">
        <v>152</v>
      </c>
      <c r="D127" s="4">
        <v>30732</v>
      </c>
      <c r="E127" t="s">
        <v>173</v>
      </c>
      <c r="F127">
        <v>2</v>
      </c>
      <c r="G127" t="s">
        <v>126</v>
      </c>
      <c r="H127">
        <v>3</v>
      </c>
      <c r="I127">
        <v>28.6</v>
      </c>
      <c r="J127">
        <v>71.400000000000006</v>
      </c>
      <c r="K127">
        <v>8</v>
      </c>
      <c r="L127">
        <v>19</v>
      </c>
      <c r="M127">
        <v>5</v>
      </c>
      <c r="N127">
        <v>8</v>
      </c>
      <c r="O127">
        <v>1</v>
      </c>
      <c r="P127">
        <v>7</v>
      </c>
      <c r="Q127">
        <v>2</v>
      </c>
      <c r="R127">
        <v>4</v>
      </c>
      <c r="S127">
        <v>75.400000000000006</v>
      </c>
      <c r="T127">
        <v>90.2</v>
      </c>
      <c r="U127">
        <v>1</v>
      </c>
      <c r="V127">
        <v>1</v>
      </c>
      <c r="W127">
        <v>38.9</v>
      </c>
      <c r="X127">
        <v>78.599999999999994</v>
      </c>
      <c r="Y127">
        <v>34.799999999999997</v>
      </c>
      <c r="Z127">
        <v>65.2</v>
      </c>
      <c r="AA127" s="17">
        <f t="shared" si="5"/>
        <v>27732</v>
      </c>
      <c r="AB127">
        <f t="shared" si="6"/>
        <v>29050</v>
      </c>
      <c r="AC127" s="18">
        <f t="shared" si="7"/>
        <v>95</v>
      </c>
      <c r="AD127" s="22">
        <f t="shared" si="8"/>
        <v>95</v>
      </c>
    </row>
    <row r="128" spans="1:30" x14ac:dyDescent="0.25">
      <c r="A128" t="s">
        <v>263</v>
      </c>
      <c r="B128" s="20">
        <v>44870</v>
      </c>
      <c r="C128" t="s">
        <v>184</v>
      </c>
      <c r="D128" s="4">
        <v>62451</v>
      </c>
      <c r="E128" t="s">
        <v>130</v>
      </c>
      <c r="F128">
        <v>1</v>
      </c>
      <c r="G128" t="s">
        <v>29</v>
      </c>
      <c r="H128">
        <v>2</v>
      </c>
      <c r="I128">
        <v>42</v>
      </c>
      <c r="J128">
        <v>58</v>
      </c>
      <c r="K128">
        <v>5</v>
      </c>
      <c r="L128">
        <v>15</v>
      </c>
      <c r="M128">
        <v>2</v>
      </c>
      <c r="N128">
        <v>6</v>
      </c>
      <c r="O128">
        <v>3</v>
      </c>
      <c r="P128">
        <v>2</v>
      </c>
      <c r="Q128">
        <v>0</v>
      </c>
      <c r="R128">
        <v>7</v>
      </c>
      <c r="S128">
        <v>80.400000000000006</v>
      </c>
      <c r="T128">
        <v>87.1</v>
      </c>
      <c r="U128">
        <v>0</v>
      </c>
      <c r="V128">
        <v>1</v>
      </c>
      <c r="W128">
        <v>56.3</v>
      </c>
      <c r="X128">
        <v>69.2</v>
      </c>
      <c r="Y128">
        <v>54.5</v>
      </c>
      <c r="Z128">
        <v>45.5</v>
      </c>
      <c r="AA128" s="17">
        <f t="shared" si="5"/>
        <v>59451</v>
      </c>
      <c r="AB128">
        <f t="shared" si="6"/>
        <v>65013</v>
      </c>
      <c r="AC128" s="18">
        <f t="shared" si="7"/>
        <v>91</v>
      </c>
      <c r="AD128" s="22">
        <f t="shared" si="8"/>
        <v>91</v>
      </c>
    </row>
    <row r="129" spans="1:30" x14ac:dyDescent="0.25">
      <c r="A129" t="s">
        <v>263</v>
      </c>
      <c r="B129" s="20">
        <v>44870</v>
      </c>
      <c r="C129" t="s">
        <v>177</v>
      </c>
      <c r="D129" s="4">
        <v>30402</v>
      </c>
      <c r="E129" t="s">
        <v>28</v>
      </c>
      <c r="F129">
        <v>1</v>
      </c>
      <c r="G129" t="s">
        <v>128</v>
      </c>
      <c r="H129">
        <v>4</v>
      </c>
      <c r="I129">
        <v>55.2</v>
      </c>
      <c r="J129">
        <v>44.8</v>
      </c>
      <c r="K129">
        <v>16</v>
      </c>
      <c r="L129">
        <v>7</v>
      </c>
      <c r="M129">
        <v>5</v>
      </c>
      <c r="N129">
        <v>4</v>
      </c>
      <c r="O129">
        <v>6</v>
      </c>
      <c r="P129">
        <v>2</v>
      </c>
      <c r="Q129">
        <v>5</v>
      </c>
      <c r="R129">
        <v>1</v>
      </c>
      <c r="S129">
        <v>78.2</v>
      </c>
      <c r="T129">
        <v>67.599999999999994</v>
      </c>
      <c r="U129">
        <v>2</v>
      </c>
      <c r="V129">
        <v>2</v>
      </c>
      <c r="W129">
        <v>71.400000000000006</v>
      </c>
      <c r="X129">
        <v>60</v>
      </c>
      <c r="Y129">
        <v>47.1</v>
      </c>
      <c r="Z129">
        <v>52.9</v>
      </c>
      <c r="AA129" s="17">
        <f t="shared" si="5"/>
        <v>27402</v>
      </c>
      <c r="AB129">
        <f t="shared" si="6"/>
        <v>29384</v>
      </c>
      <c r="AC129" s="18">
        <f t="shared" si="7"/>
        <v>93</v>
      </c>
      <c r="AD129" s="22">
        <f t="shared" si="8"/>
        <v>93</v>
      </c>
    </row>
    <row r="130" spans="1:30" x14ac:dyDescent="0.25">
      <c r="A130" t="s">
        <v>264</v>
      </c>
      <c r="B130" s="20">
        <v>44870</v>
      </c>
      <c r="C130" t="s">
        <v>175</v>
      </c>
      <c r="D130" s="4">
        <v>36304</v>
      </c>
      <c r="E130" t="s">
        <v>27</v>
      </c>
      <c r="F130">
        <v>4</v>
      </c>
      <c r="G130" t="s">
        <v>57</v>
      </c>
      <c r="H130">
        <v>3</v>
      </c>
      <c r="I130">
        <v>60.9</v>
      </c>
      <c r="J130">
        <v>39.1</v>
      </c>
      <c r="K130">
        <v>18</v>
      </c>
      <c r="L130">
        <v>9</v>
      </c>
      <c r="M130">
        <v>4</v>
      </c>
      <c r="N130">
        <v>6</v>
      </c>
      <c r="O130">
        <v>6</v>
      </c>
      <c r="P130">
        <v>2</v>
      </c>
      <c r="Q130">
        <v>8</v>
      </c>
      <c r="R130">
        <v>1</v>
      </c>
      <c r="S130">
        <v>81.7</v>
      </c>
      <c r="T130">
        <v>73</v>
      </c>
      <c r="U130">
        <v>1</v>
      </c>
      <c r="V130">
        <v>2</v>
      </c>
      <c r="W130">
        <v>65.400000000000006</v>
      </c>
      <c r="X130">
        <v>73.3</v>
      </c>
      <c r="Y130">
        <v>65.8</v>
      </c>
      <c r="Z130">
        <v>34.200000000000003</v>
      </c>
      <c r="AA130" s="17">
        <f t="shared" ref="AA130:AA193" si="9">D130-3000</f>
        <v>33304</v>
      </c>
      <c r="AB130">
        <f t="shared" ref="AB130:AB193" si="10">VLOOKUP(E130,$AJ$1:$AN$23,5,FALSE)</f>
        <v>35220</v>
      </c>
      <c r="AC130" s="18">
        <f t="shared" ref="AC130:AC193" si="11">TRUNC(100*AA130/AB130,0)</f>
        <v>94</v>
      </c>
      <c r="AD130" s="22">
        <f t="shared" ref="AD130:AD193" si="12">AC130</f>
        <v>94</v>
      </c>
    </row>
    <row r="131" spans="1:30" x14ac:dyDescent="0.25">
      <c r="A131" t="s">
        <v>263</v>
      </c>
      <c r="B131" s="20">
        <v>44870</v>
      </c>
      <c r="C131" t="s">
        <v>187</v>
      </c>
      <c r="D131" s="4">
        <v>62008</v>
      </c>
      <c r="E131" t="s">
        <v>129</v>
      </c>
      <c r="F131">
        <v>1</v>
      </c>
      <c r="G131" t="s">
        <v>17</v>
      </c>
      <c r="H131">
        <v>2</v>
      </c>
      <c r="I131">
        <v>46.6</v>
      </c>
      <c r="J131">
        <v>53.4</v>
      </c>
      <c r="K131">
        <v>14</v>
      </c>
      <c r="L131">
        <v>13</v>
      </c>
      <c r="M131">
        <v>5</v>
      </c>
      <c r="N131">
        <v>6</v>
      </c>
      <c r="O131">
        <v>6</v>
      </c>
      <c r="P131">
        <v>3</v>
      </c>
      <c r="Q131">
        <v>3</v>
      </c>
      <c r="R131">
        <v>4</v>
      </c>
      <c r="S131">
        <v>82.6</v>
      </c>
      <c r="T131">
        <v>83.6</v>
      </c>
      <c r="U131">
        <v>3</v>
      </c>
      <c r="V131">
        <v>1</v>
      </c>
      <c r="W131">
        <v>73.3</v>
      </c>
      <c r="X131">
        <v>50</v>
      </c>
      <c r="Y131">
        <v>53.8</v>
      </c>
      <c r="Z131">
        <v>46.2</v>
      </c>
      <c r="AA131" s="17">
        <f t="shared" si="9"/>
        <v>59008</v>
      </c>
      <c r="AB131">
        <f t="shared" si="10"/>
        <v>59850</v>
      </c>
      <c r="AC131" s="18">
        <f t="shared" si="11"/>
        <v>98</v>
      </c>
      <c r="AD131" s="22">
        <f t="shared" si="12"/>
        <v>98</v>
      </c>
    </row>
    <row r="132" spans="1:30" x14ac:dyDescent="0.25">
      <c r="A132" t="s">
        <v>264</v>
      </c>
      <c r="B132" s="20">
        <v>44870</v>
      </c>
      <c r="C132" t="s">
        <v>185</v>
      </c>
      <c r="D132" s="4">
        <v>52395</v>
      </c>
      <c r="E132" t="s">
        <v>19</v>
      </c>
      <c r="F132">
        <v>2</v>
      </c>
      <c r="G132" t="s">
        <v>44</v>
      </c>
      <c r="H132">
        <v>1</v>
      </c>
      <c r="I132">
        <v>70.599999999999994</v>
      </c>
      <c r="J132">
        <v>29.4</v>
      </c>
      <c r="K132">
        <v>16</v>
      </c>
      <c r="L132">
        <v>4</v>
      </c>
      <c r="M132">
        <v>5</v>
      </c>
      <c r="N132">
        <v>2</v>
      </c>
      <c r="O132">
        <v>5</v>
      </c>
      <c r="P132">
        <v>1</v>
      </c>
      <c r="Q132">
        <v>6</v>
      </c>
      <c r="R132">
        <v>1</v>
      </c>
      <c r="S132">
        <v>91.1</v>
      </c>
      <c r="T132">
        <v>79.3</v>
      </c>
      <c r="U132">
        <v>3</v>
      </c>
      <c r="V132">
        <v>0</v>
      </c>
      <c r="W132">
        <v>12.5</v>
      </c>
      <c r="X132">
        <v>73.3</v>
      </c>
      <c r="Y132">
        <v>54.5</v>
      </c>
      <c r="Z132">
        <v>45.5</v>
      </c>
      <c r="AA132" s="17">
        <f t="shared" si="9"/>
        <v>49395</v>
      </c>
      <c r="AB132">
        <f t="shared" si="10"/>
        <v>50400</v>
      </c>
      <c r="AC132" s="18">
        <f t="shared" si="11"/>
        <v>98</v>
      </c>
      <c r="AD132" s="22">
        <f t="shared" si="12"/>
        <v>98</v>
      </c>
    </row>
    <row r="133" spans="1:30" x14ac:dyDescent="0.25">
      <c r="A133" t="s">
        <v>262</v>
      </c>
      <c r="B133" s="20">
        <v>44871</v>
      </c>
      <c r="C133" t="s">
        <v>184</v>
      </c>
      <c r="D133" s="4">
        <v>62459</v>
      </c>
      <c r="E133" t="s">
        <v>130</v>
      </c>
      <c r="F133">
        <v>0</v>
      </c>
      <c r="G133" t="s">
        <v>36</v>
      </c>
      <c r="H133">
        <v>2</v>
      </c>
      <c r="I133">
        <v>53.6</v>
      </c>
      <c r="J133">
        <v>46.4</v>
      </c>
      <c r="K133">
        <v>18</v>
      </c>
      <c r="L133">
        <v>9</v>
      </c>
      <c r="M133">
        <v>6</v>
      </c>
      <c r="N133">
        <v>6</v>
      </c>
      <c r="O133">
        <v>9</v>
      </c>
      <c r="P133">
        <v>2</v>
      </c>
      <c r="Q133">
        <v>3</v>
      </c>
      <c r="R133">
        <v>1</v>
      </c>
      <c r="S133">
        <v>77.400000000000006</v>
      </c>
      <c r="T133">
        <v>78.2</v>
      </c>
      <c r="U133">
        <v>0</v>
      </c>
      <c r="V133">
        <v>1</v>
      </c>
      <c r="W133">
        <v>66.7</v>
      </c>
      <c r="X133">
        <v>47.4</v>
      </c>
      <c r="Y133">
        <v>63.6</v>
      </c>
      <c r="Z133">
        <v>36.4</v>
      </c>
      <c r="AA133" s="17">
        <f t="shared" si="9"/>
        <v>59459</v>
      </c>
      <c r="AB133">
        <f t="shared" si="10"/>
        <v>65013</v>
      </c>
      <c r="AC133" s="18">
        <f t="shared" si="11"/>
        <v>91</v>
      </c>
      <c r="AD133" s="22">
        <f t="shared" si="12"/>
        <v>91</v>
      </c>
    </row>
    <row r="134" spans="1:30" x14ac:dyDescent="0.25">
      <c r="A134" t="s">
        <v>262</v>
      </c>
      <c r="B134" s="20">
        <v>44871</v>
      </c>
      <c r="C134" t="s">
        <v>182</v>
      </c>
      <c r="D134" s="4">
        <v>52264</v>
      </c>
      <c r="E134" t="s">
        <v>128</v>
      </c>
      <c r="F134">
        <v>1</v>
      </c>
      <c r="G134" t="s">
        <v>21</v>
      </c>
      <c r="H134">
        <v>0</v>
      </c>
      <c r="I134">
        <v>48.9</v>
      </c>
      <c r="J134">
        <v>51.1</v>
      </c>
      <c r="K134">
        <v>10</v>
      </c>
      <c r="L134">
        <v>5</v>
      </c>
      <c r="M134">
        <v>3</v>
      </c>
      <c r="N134">
        <v>2</v>
      </c>
      <c r="O134">
        <v>3</v>
      </c>
      <c r="P134">
        <v>2</v>
      </c>
      <c r="Q134">
        <v>4</v>
      </c>
      <c r="R134">
        <v>1</v>
      </c>
      <c r="S134">
        <v>82.7</v>
      </c>
      <c r="T134">
        <v>84.1</v>
      </c>
      <c r="U134">
        <v>2</v>
      </c>
      <c r="V134">
        <v>0</v>
      </c>
      <c r="W134">
        <v>65.2</v>
      </c>
      <c r="X134">
        <v>65.2</v>
      </c>
      <c r="Y134">
        <v>72.7</v>
      </c>
      <c r="Z134">
        <v>27.3</v>
      </c>
      <c r="AA134" s="17">
        <f t="shared" si="9"/>
        <v>49264</v>
      </c>
      <c r="AB134">
        <f t="shared" si="10"/>
        <v>49350</v>
      </c>
      <c r="AC134" s="18">
        <f t="shared" si="11"/>
        <v>99</v>
      </c>
      <c r="AD134" s="22">
        <f t="shared" si="12"/>
        <v>99</v>
      </c>
    </row>
    <row r="135" spans="1:30" x14ac:dyDescent="0.25">
      <c r="A135" t="s">
        <v>263</v>
      </c>
      <c r="B135" s="20">
        <v>44871</v>
      </c>
      <c r="C135" t="s">
        <v>142</v>
      </c>
      <c r="D135" s="4">
        <v>40142</v>
      </c>
      <c r="E135" t="s">
        <v>21</v>
      </c>
      <c r="F135">
        <v>0</v>
      </c>
      <c r="G135" t="s">
        <v>20</v>
      </c>
      <c r="H135">
        <v>1</v>
      </c>
      <c r="I135">
        <v>44.3</v>
      </c>
      <c r="J135">
        <v>55.7</v>
      </c>
      <c r="K135">
        <v>5</v>
      </c>
      <c r="L135">
        <v>14</v>
      </c>
      <c r="M135">
        <v>1</v>
      </c>
      <c r="N135">
        <v>2</v>
      </c>
      <c r="O135">
        <v>1</v>
      </c>
      <c r="P135">
        <v>9</v>
      </c>
      <c r="Q135">
        <v>3</v>
      </c>
      <c r="R135">
        <v>3</v>
      </c>
      <c r="S135">
        <v>73.099999999999994</v>
      </c>
      <c r="T135">
        <v>82.1</v>
      </c>
      <c r="U135">
        <v>0</v>
      </c>
      <c r="V135">
        <v>2</v>
      </c>
      <c r="W135">
        <v>54.2</v>
      </c>
      <c r="X135">
        <v>58.8</v>
      </c>
      <c r="Y135">
        <v>56.7</v>
      </c>
      <c r="Z135">
        <v>43.3</v>
      </c>
      <c r="AA135" s="17">
        <f t="shared" si="9"/>
        <v>37142</v>
      </c>
      <c r="AB135">
        <f t="shared" si="10"/>
        <v>37343</v>
      </c>
      <c r="AC135" s="18">
        <f t="shared" si="11"/>
        <v>99</v>
      </c>
      <c r="AD135" s="22">
        <f t="shared" si="12"/>
        <v>99</v>
      </c>
    </row>
    <row r="136" spans="1:30" x14ac:dyDescent="0.25">
      <c r="A136" t="s">
        <v>263</v>
      </c>
      <c r="B136" s="20">
        <v>44871</v>
      </c>
      <c r="C136" t="s">
        <v>138</v>
      </c>
      <c r="D136" s="4">
        <v>42058</v>
      </c>
      <c r="E136" t="s">
        <v>12</v>
      </c>
      <c r="F136">
        <v>3</v>
      </c>
      <c r="G136" t="s">
        <v>127</v>
      </c>
      <c r="H136">
        <v>1</v>
      </c>
      <c r="I136">
        <v>41.8</v>
      </c>
      <c r="J136">
        <v>58.2</v>
      </c>
      <c r="K136">
        <v>6</v>
      </c>
      <c r="L136">
        <v>8</v>
      </c>
      <c r="M136">
        <v>4</v>
      </c>
      <c r="N136">
        <v>3</v>
      </c>
      <c r="O136">
        <v>2</v>
      </c>
      <c r="P136">
        <v>2</v>
      </c>
      <c r="Q136">
        <v>0</v>
      </c>
      <c r="R136">
        <v>3</v>
      </c>
      <c r="S136">
        <v>83.5</v>
      </c>
      <c r="T136">
        <v>85.3</v>
      </c>
      <c r="U136">
        <v>1</v>
      </c>
      <c r="V136">
        <v>0</v>
      </c>
      <c r="W136">
        <v>31.3</v>
      </c>
      <c r="X136">
        <v>66.7</v>
      </c>
      <c r="Y136">
        <v>50</v>
      </c>
      <c r="Z136">
        <v>50</v>
      </c>
      <c r="AA136" s="17">
        <f t="shared" si="9"/>
        <v>39058</v>
      </c>
      <c r="AB136">
        <f t="shared" si="10"/>
        <v>39000</v>
      </c>
      <c r="AC136" s="18">
        <f t="shared" si="11"/>
        <v>100</v>
      </c>
      <c r="AD136" s="22">
        <f t="shared" si="12"/>
        <v>100</v>
      </c>
    </row>
    <row r="137" spans="1:30" x14ac:dyDescent="0.25">
      <c r="A137" t="s">
        <v>262</v>
      </c>
      <c r="B137" s="20">
        <v>44877</v>
      </c>
      <c r="C137" t="s">
        <v>188</v>
      </c>
      <c r="D137" s="4">
        <v>10382</v>
      </c>
      <c r="E137" t="s">
        <v>57</v>
      </c>
      <c r="F137">
        <v>3</v>
      </c>
      <c r="G137" t="s">
        <v>23</v>
      </c>
      <c r="H137">
        <v>0</v>
      </c>
      <c r="I137">
        <v>35.799999999999997</v>
      </c>
      <c r="J137">
        <v>64.2</v>
      </c>
      <c r="K137">
        <v>16</v>
      </c>
      <c r="L137">
        <v>15</v>
      </c>
      <c r="M137">
        <v>9</v>
      </c>
      <c r="N137">
        <v>3</v>
      </c>
      <c r="O137">
        <v>4</v>
      </c>
      <c r="P137">
        <v>6</v>
      </c>
      <c r="Q137">
        <v>3</v>
      </c>
      <c r="R137">
        <v>6</v>
      </c>
      <c r="S137">
        <v>73.099999999999994</v>
      </c>
      <c r="T137">
        <v>85.6</v>
      </c>
      <c r="U137">
        <v>2</v>
      </c>
      <c r="V137">
        <v>1</v>
      </c>
      <c r="W137">
        <v>66.7</v>
      </c>
      <c r="X137">
        <v>50</v>
      </c>
      <c r="Y137">
        <v>56.7</v>
      </c>
      <c r="Z137">
        <v>43.3</v>
      </c>
      <c r="AA137" s="17">
        <f t="shared" si="9"/>
        <v>7382</v>
      </c>
      <c r="AB137">
        <f t="shared" si="10"/>
        <v>9879</v>
      </c>
      <c r="AC137" s="18">
        <f t="shared" si="11"/>
        <v>74</v>
      </c>
      <c r="AD137" s="22">
        <f t="shared" si="12"/>
        <v>74</v>
      </c>
    </row>
    <row r="138" spans="1:30" x14ac:dyDescent="0.25">
      <c r="A138" t="s">
        <v>262</v>
      </c>
      <c r="B138" s="20">
        <v>44877</v>
      </c>
      <c r="C138" t="s">
        <v>146</v>
      </c>
      <c r="D138" s="4">
        <v>53331</v>
      </c>
      <c r="E138" t="s">
        <v>17</v>
      </c>
      <c r="F138">
        <v>3</v>
      </c>
      <c r="G138" t="s">
        <v>28</v>
      </c>
      <c r="H138">
        <v>1</v>
      </c>
      <c r="I138">
        <v>59.9</v>
      </c>
      <c r="J138">
        <v>40.1</v>
      </c>
      <c r="K138">
        <v>15</v>
      </c>
      <c r="L138">
        <v>9</v>
      </c>
      <c r="M138">
        <v>7</v>
      </c>
      <c r="N138">
        <v>5</v>
      </c>
      <c r="O138">
        <v>6</v>
      </c>
      <c r="P138">
        <v>3</v>
      </c>
      <c r="Q138">
        <v>2</v>
      </c>
      <c r="R138">
        <v>1</v>
      </c>
      <c r="S138">
        <v>86.3</v>
      </c>
      <c r="T138">
        <v>80</v>
      </c>
      <c r="U138">
        <v>6</v>
      </c>
      <c r="V138">
        <v>3</v>
      </c>
      <c r="W138">
        <v>41.7</v>
      </c>
      <c r="X138">
        <v>50</v>
      </c>
      <c r="Y138">
        <v>55</v>
      </c>
      <c r="Z138">
        <v>45</v>
      </c>
      <c r="AA138" s="17">
        <f t="shared" si="9"/>
        <v>50331</v>
      </c>
      <c r="AB138">
        <f t="shared" si="10"/>
        <v>58000</v>
      </c>
      <c r="AC138" s="18">
        <f t="shared" si="11"/>
        <v>86</v>
      </c>
      <c r="AD138" s="22">
        <f t="shared" si="12"/>
        <v>86</v>
      </c>
    </row>
    <row r="139" spans="1:30" x14ac:dyDescent="0.25">
      <c r="A139" t="s">
        <v>262</v>
      </c>
      <c r="B139" s="20">
        <v>44877</v>
      </c>
      <c r="C139" t="s">
        <v>189</v>
      </c>
      <c r="D139" s="4">
        <v>29045</v>
      </c>
      <c r="E139" t="s">
        <v>123</v>
      </c>
      <c r="F139">
        <v>1</v>
      </c>
      <c r="G139" t="s">
        <v>29</v>
      </c>
      <c r="H139">
        <v>0</v>
      </c>
      <c r="I139">
        <v>31.5</v>
      </c>
      <c r="J139">
        <v>68.5</v>
      </c>
      <c r="K139">
        <v>9</v>
      </c>
      <c r="L139">
        <v>8</v>
      </c>
      <c r="M139">
        <v>2</v>
      </c>
      <c r="N139">
        <v>0</v>
      </c>
      <c r="O139">
        <v>6</v>
      </c>
      <c r="P139">
        <v>7</v>
      </c>
      <c r="Q139">
        <v>1</v>
      </c>
      <c r="R139">
        <v>1</v>
      </c>
      <c r="S139">
        <v>71.5</v>
      </c>
      <c r="T139">
        <v>87</v>
      </c>
      <c r="U139">
        <v>0</v>
      </c>
      <c r="V139">
        <v>0</v>
      </c>
      <c r="W139">
        <v>57.1</v>
      </c>
      <c r="X139">
        <v>54.5</v>
      </c>
      <c r="Y139">
        <v>39.1</v>
      </c>
      <c r="Z139">
        <v>60.9</v>
      </c>
      <c r="AA139" s="17">
        <f t="shared" si="9"/>
        <v>26045</v>
      </c>
      <c r="AB139">
        <f t="shared" si="10"/>
        <v>27445</v>
      </c>
      <c r="AC139" s="18">
        <f t="shared" si="11"/>
        <v>94</v>
      </c>
      <c r="AD139" s="22">
        <f t="shared" si="12"/>
        <v>94</v>
      </c>
    </row>
    <row r="140" spans="1:30" x14ac:dyDescent="0.25">
      <c r="A140" t="s">
        <v>262</v>
      </c>
      <c r="B140" s="20">
        <v>44877</v>
      </c>
      <c r="C140" t="s">
        <v>185</v>
      </c>
      <c r="D140" s="4">
        <v>52786</v>
      </c>
      <c r="E140" t="s">
        <v>19</v>
      </c>
      <c r="F140">
        <v>1</v>
      </c>
      <c r="G140" t="s">
        <v>60</v>
      </c>
      <c r="H140">
        <v>2</v>
      </c>
      <c r="I140">
        <v>74.599999999999994</v>
      </c>
      <c r="J140">
        <v>25.4</v>
      </c>
      <c r="K140">
        <v>29</v>
      </c>
      <c r="L140">
        <v>10</v>
      </c>
      <c r="M140">
        <v>6</v>
      </c>
      <c r="N140">
        <v>8</v>
      </c>
      <c r="O140">
        <v>9</v>
      </c>
      <c r="P140">
        <v>1</v>
      </c>
      <c r="Q140">
        <v>14</v>
      </c>
      <c r="R140">
        <v>1</v>
      </c>
      <c r="S140">
        <v>85.2</v>
      </c>
      <c r="T140">
        <v>56.9</v>
      </c>
      <c r="U140">
        <v>1</v>
      </c>
      <c r="V140">
        <v>5</v>
      </c>
      <c r="W140">
        <v>77.8</v>
      </c>
      <c r="X140">
        <v>27.3</v>
      </c>
      <c r="Y140">
        <v>52.4</v>
      </c>
      <c r="Z140">
        <v>47.6</v>
      </c>
      <c r="AA140" s="17">
        <f t="shared" si="9"/>
        <v>49786</v>
      </c>
      <c r="AB140">
        <f t="shared" si="10"/>
        <v>50400</v>
      </c>
      <c r="AC140" s="18">
        <f t="shared" si="11"/>
        <v>98</v>
      </c>
      <c r="AD140" s="22">
        <f t="shared" si="12"/>
        <v>98</v>
      </c>
    </row>
    <row r="141" spans="1:30" x14ac:dyDescent="0.25">
      <c r="A141" t="s">
        <v>262</v>
      </c>
      <c r="B141" s="20">
        <v>44877</v>
      </c>
      <c r="C141" t="s">
        <v>187</v>
      </c>
      <c r="D141" s="4">
        <v>61667</v>
      </c>
      <c r="E141" t="s">
        <v>129</v>
      </c>
      <c r="F141">
        <v>4</v>
      </c>
      <c r="G141" t="s">
        <v>27</v>
      </c>
      <c r="H141">
        <v>3</v>
      </c>
      <c r="I141">
        <v>54.7</v>
      </c>
      <c r="J141">
        <v>45.3</v>
      </c>
      <c r="K141">
        <v>14</v>
      </c>
      <c r="L141">
        <v>12</v>
      </c>
      <c r="M141">
        <v>8</v>
      </c>
      <c r="N141">
        <v>5</v>
      </c>
      <c r="O141">
        <v>3</v>
      </c>
      <c r="P141">
        <v>2</v>
      </c>
      <c r="Q141">
        <v>3</v>
      </c>
      <c r="R141">
        <v>5</v>
      </c>
      <c r="S141">
        <v>82.6</v>
      </c>
      <c r="T141">
        <v>78.900000000000006</v>
      </c>
      <c r="U141">
        <v>4</v>
      </c>
      <c r="V141">
        <v>4</v>
      </c>
      <c r="W141">
        <v>66.7</v>
      </c>
      <c r="X141">
        <v>52.6</v>
      </c>
      <c r="Y141">
        <v>51.9</v>
      </c>
      <c r="Z141">
        <v>48.1</v>
      </c>
      <c r="AA141" s="17">
        <f t="shared" si="9"/>
        <v>58667</v>
      </c>
      <c r="AB141">
        <f t="shared" si="10"/>
        <v>59850</v>
      </c>
      <c r="AC141" s="18">
        <f t="shared" si="11"/>
        <v>98</v>
      </c>
      <c r="AD141" s="22">
        <f t="shared" si="12"/>
        <v>98</v>
      </c>
    </row>
    <row r="142" spans="1:30" x14ac:dyDescent="0.25">
      <c r="A142" t="s">
        <v>261</v>
      </c>
      <c r="B142" s="20">
        <v>44878</v>
      </c>
      <c r="C142" t="s">
        <v>145</v>
      </c>
      <c r="D142" s="4">
        <v>24246</v>
      </c>
      <c r="E142" t="s">
        <v>44</v>
      </c>
      <c r="F142">
        <v>1</v>
      </c>
      <c r="G142" t="s">
        <v>127</v>
      </c>
      <c r="H142">
        <v>2</v>
      </c>
      <c r="I142">
        <v>52.7</v>
      </c>
      <c r="J142">
        <v>47.3</v>
      </c>
      <c r="K142">
        <v>14</v>
      </c>
      <c r="L142">
        <v>14</v>
      </c>
      <c r="M142">
        <v>7</v>
      </c>
      <c r="N142">
        <v>9</v>
      </c>
      <c r="O142">
        <v>5</v>
      </c>
      <c r="P142">
        <v>3</v>
      </c>
      <c r="Q142">
        <v>2</v>
      </c>
      <c r="R142">
        <v>2</v>
      </c>
      <c r="S142">
        <v>79.400000000000006</v>
      </c>
      <c r="T142">
        <v>79.400000000000006</v>
      </c>
      <c r="U142">
        <v>1</v>
      </c>
      <c r="V142">
        <v>6</v>
      </c>
      <c r="W142">
        <v>44.4</v>
      </c>
      <c r="X142">
        <v>58.3</v>
      </c>
      <c r="Y142">
        <v>39.299999999999997</v>
      </c>
      <c r="Z142">
        <v>60.7</v>
      </c>
      <c r="AA142" s="17">
        <f t="shared" si="9"/>
        <v>21246</v>
      </c>
      <c r="AB142">
        <f t="shared" si="10"/>
        <v>25700</v>
      </c>
      <c r="AC142" s="18">
        <f t="shared" si="11"/>
        <v>82</v>
      </c>
      <c r="AD142" s="22">
        <f t="shared" si="12"/>
        <v>82</v>
      </c>
    </row>
    <row r="143" spans="1:30" x14ac:dyDescent="0.25">
      <c r="A143" t="s">
        <v>261</v>
      </c>
      <c r="B143" s="20">
        <v>44878</v>
      </c>
      <c r="C143" t="s">
        <v>180</v>
      </c>
      <c r="D143" s="4">
        <v>31581</v>
      </c>
      <c r="E143" t="s">
        <v>126</v>
      </c>
      <c r="F143">
        <v>1</v>
      </c>
      <c r="G143" t="s">
        <v>12</v>
      </c>
      <c r="H143">
        <v>2</v>
      </c>
      <c r="I143">
        <v>65.099999999999994</v>
      </c>
      <c r="J143">
        <v>34.9</v>
      </c>
      <c r="K143">
        <v>7</v>
      </c>
      <c r="L143">
        <v>8</v>
      </c>
      <c r="M143">
        <v>2</v>
      </c>
      <c r="N143">
        <v>2</v>
      </c>
      <c r="O143">
        <v>1</v>
      </c>
      <c r="P143">
        <v>3</v>
      </c>
      <c r="Q143">
        <v>4</v>
      </c>
      <c r="R143">
        <v>3</v>
      </c>
      <c r="S143">
        <v>86.3</v>
      </c>
      <c r="T143">
        <v>72</v>
      </c>
      <c r="U143">
        <v>1</v>
      </c>
      <c r="V143">
        <v>0</v>
      </c>
      <c r="W143">
        <v>42.9</v>
      </c>
      <c r="X143">
        <v>52.2</v>
      </c>
      <c r="Y143">
        <v>55.6</v>
      </c>
      <c r="Z143">
        <v>44.4</v>
      </c>
      <c r="AA143" s="17">
        <f t="shared" si="9"/>
        <v>28581</v>
      </c>
      <c r="AB143">
        <f t="shared" si="10"/>
        <v>28876</v>
      </c>
      <c r="AC143" s="18">
        <f t="shared" si="11"/>
        <v>98</v>
      </c>
      <c r="AD143" s="22">
        <f t="shared" si="12"/>
        <v>98</v>
      </c>
    </row>
    <row r="144" spans="1:30" x14ac:dyDescent="0.25">
      <c r="A144" t="s">
        <v>260</v>
      </c>
      <c r="B144" s="20">
        <v>44921</v>
      </c>
      <c r="C144" t="s">
        <v>174</v>
      </c>
      <c r="D144" s="4">
        <v>17137</v>
      </c>
      <c r="E144" t="s">
        <v>60</v>
      </c>
      <c r="F144">
        <v>2</v>
      </c>
      <c r="G144" t="s">
        <v>129</v>
      </c>
      <c r="H144">
        <v>2</v>
      </c>
      <c r="I144">
        <v>39.1</v>
      </c>
      <c r="J144">
        <v>60.9</v>
      </c>
      <c r="K144">
        <v>9</v>
      </c>
      <c r="L144">
        <v>15</v>
      </c>
      <c r="M144">
        <v>5</v>
      </c>
      <c r="N144">
        <v>8</v>
      </c>
      <c r="O144">
        <v>3</v>
      </c>
      <c r="P144">
        <v>2</v>
      </c>
      <c r="Q144">
        <v>1</v>
      </c>
      <c r="R144">
        <v>5</v>
      </c>
      <c r="S144">
        <v>63.6</v>
      </c>
      <c r="T144">
        <v>81.8</v>
      </c>
      <c r="U144">
        <v>2</v>
      </c>
      <c r="V144">
        <v>0</v>
      </c>
      <c r="W144">
        <v>25</v>
      </c>
      <c r="X144">
        <v>44.4</v>
      </c>
      <c r="Y144">
        <v>33.299999999999997</v>
      </c>
      <c r="Z144">
        <v>66.7</v>
      </c>
      <c r="AA144" s="17">
        <f t="shared" si="9"/>
        <v>14137</v>
      </c>
      <c r="AB144">
        <f t="shared" si="10"/>
        <v>15250</v>
      </c>
      <c r="AC144" s="18">
        <f t="shared" si="11"/>
        <v>92</v>
      </c>
      <c r="AD144" s="22">
        <f t="shared" si="12"/>
        <v>92</v>
      </c>
    </row>
    <row r="145" spans="1:30" x14ac:dyDescent="0.25">
      <c r="A145" t="s">
        <v>260</v>
      </c>
      <c r="B145" s="20">
        <v>44921</v>
      </c>
      <c r="C145" t="s">
        <v>143</v>
      </c>
      <c r="D145" s="4">
        <v>25176</v>
      </c>
      <c r="E145" t="s">
        <v>29</v>
      </c>
      <c r="F145">
        <v>0</v>
      </c>
      <c r="G145" t="s">
        <v>44</v>
      </c>
      <c r="H145">
        <v>3</v>
      </c>
      <c r="I145">
        <v>36.200000000000003</v>
      </c>
      <c r="J145">
        <v>63.8</v>
      </c>
      <c r="K145">
        <v>4</v>
      </c>
      <c r="L145">
        <v>23</v>
      </c>
      <c r="M145">
        <v>0</v>
      </c>
      <c r="N145">
        <v>11</v>
      </c>
      <c r="O145">
        <v>3</v>
      </c>
      <c r="P145">
        <v>6</v>
      </c>
      <c r="Q145">
        <v>1</v>
      </c>
      <c r="R145">
        <v>6</v>
      </c>
      <c r="S145">
        <v>74.5</v>
      </c>
      <c r="T145">
        <v>85.8</v>
      </c>
      <c r="U145">
        <v>0</v>
      </c>
      <c r="V145">
        <v>2</v>
      </c>
      <c r="W145">
        <v>73.3</v>
      </c>
      <c r="X145">
        <v>56.3</v>
      </c>
      <c r="Y145">
        <v>28.6</v>
      </c>
      <c r="Z145">
        <v>71.400000000000006</v>
      </c>
      <c r="AA145" s="17">
        <f t="shared" si="9"/>
        <v>22176</v>
      </c>
      <c r="AB145">
        <f t="shared" si="10"/>
        <v>23486</v>
      </c>
      <c r="AC145" s="18">
        <f t="shared" si="11"/>
        <v>94</v>
      </c>
      <c r="AD145" s="22">
        <f t="shared" si="12"/>
        <v>94</v>
      </c>
    </row>
    <row r="146" spans="1:30" x14ac:dyDescent="0.25">
      <c r="A146" t="s">
        <v>260</v>
      </c>
      <c r="B146" s="20">
        <v>44921</v>
      </c>
      <c r="C146" t="s">
        <v>177</v>
      </c>
      <c r="D146" s="4">
        <v>31010</v>
      </c>
      <c r="E146" t="s">
        <v>28</v>
      </c>
      <c r="F146">
        <v>1</v>
      </c>
      <c r="G146" t="s">
        <v>126</v>
      </c>
      <c r="H146">
        <v>3</v>
      </c>
      <c r="I146">
        <v>33.6</v>
      </c>
      <c r="J146">
        <v>66.400000000000006</v>
      </c>
      <c r="K146">
        <v>14</v>
      </c>
      <c r="L146">
        <v>7</v>
      </c>
      <c r="M146">
        <v>4</v>
      </c>
      <c r="N146">
        <v>4</v>
      </c>
      <c r="O146">
        <v>7</v>
      </c>
      <c r="P146">
        <v>2</v>
      </c>
      <c r="Q146">
        <v>3</v>
      </c>
      <c r="R146">
        <v>1</v>
      </c>
      <c r="S146">
        <v>77.2</v>
      </c>
      <c r="T146">
        <v>86.8</v>
      </c>
      <c r="U146">
        <v>0</v>
      </c>
      <c r="V146">
        <v>1</v>
      </c>
      <c r="W146">
        <v>62.5</v>
      </c>
      <c r="X146">
        <v>38.1</v>
      </c>
      <c r="Y146">
        <v>45.2</v>
      </c>
      <c r="Z146">
        <v>54.8</v>
      </c>
      <c r="AA146" s="17">
        <f t="shared" si="9"/>
        <v>28010</v>
      </c>
      <c r="AB146">
        <f t="shared" si="10"/>
        <v>29384</v>
      </c>
      <c r="AC146" s="18">
        <f t="shared" si="11"/>
        <v>95</v>
      </c>
      <c r="AD146" s="22">
        <f t="shared" si="12"/>
        <v>95</v>
      </c>
    </row>
    <row r="147" spans="1:30" x14ac:dyDescent="0.25">
      <c r="A147" t="s">
        <v>260</v>
      </c>
      <c r="B147" s="20">
        <v>44921</v>
      </c>
      <c r="C147" t="s">
        <v>172</v>
      </c>
      <c r="D147" s="4">
        <v>60125</v>
      </c>
      <c r="E147" t="s">
        <v>20</v>
      </c>
      <c r="F147">
        <v>3</v>
      </c>
      <c r="G147" t="s">
        <v>130</v>
      </c>
      <c r="H147">
        <v>1</v>
      </c>
      <c r="I147">
        <v>66.5</v>
      </c>
      <c r="J147">
        <v>33.5</v>
      </c>
      <c r="K147">
        <v>16</v>
      </c>
      <c r="L147">
        <v>8</v>
      </c>
      <c r="M147">
        <v>5</v>
      </c>
      <c r="N147">
        <v>4</v>
      </c>
      <c r="O147">
        <v>6</v>
      </c>
      <c r="P147">
        <v>4</v>
      </c>
      <c r="Q147">
        <v>5</v>
      </c>
      <c r="R147">
        <v>0</v>
      </c>
      <c r="S147">
        <v>89.5</v>
      </c>
      <c r="T147">
        <v>75.5</v>
      </c>
      <c r="U147">
        <v>3</v>
      </c>
      <c r="V147">
        <v>0</v>
      </c>
      <c r="W147">
        <v>66.7</v>
      </c>
      <c r="X147">
        <v>50</v>
      </c>
      <c r="Y147">
        <v>48.4</v>
      </c>
      <c r="Z147">
        <v>51.6</v>
      </c>
      <c r="AA147" s="17">
        <f t="shared" si="9"/>
        <v>57125</v>
      </c>
      <c r="AB147">
        <f t="shared" si="10"/>
        <v>57704</v>
      </c>
      <c r="AC147" s="18">
        <f t="shared" si="11"/>
        <v>98</v>
      </c>
      <c r="AD147" s="22">
        <f t="shared" si="12"/>
        <v>98</v>
      </c>
    </row>
    <row r="148" spans="1:30" x14ac:dyDescent="0.25">
      <c r="A148" t="s">
        <v>260</v>
      </c>
      <c r="B148" s="20">
        <v>44921</v>
      </c>
      <c r="C148" t="s">
        <v>144</v>
      </c>
      <c r="D148" s="4">
        <v>39252</v>
      </c>
      <c r="E148" t="s">
        <v>23</v>
      </c>
      <c r="F148">
        <v>1</v>
      </c>
      <c r="G148" t="s">
        <v>173</v>
      </c>
      <c r="H148">
        <v>2</v>
      </c>
      <c r="I148">
        <v>58.8</v>
      </c>
      <c r="J148">
        <v>41.2</v>
      </c>
      <c r="K148">
        <v>12</v>
      </c>
      <c r="L148">
        <v>7</v>
      </c>
      <c r="M148">
        <v>6</v>
      </c>
      <c r="N148">
        <v>4</v>
      </c>
      <c r="O148">
        <v>4</v>
      </c>
      <c r="P148">
        <v>2</v>
      </c>
      <c r="Q148">
        <v>2</v>
      </c>
      <c r="R148">
        <v>1</v>
      </c>
      <c r="S148">
        <v>84.8</v>
      </c>
      <c r="T148">
        <v>75.5</v>
      </c>
      <c r="U148">
        <v>2</v>
      </c>
      <c r="V148">
        <v>1</v>
      </c>
      <c r="W148">
        <v>76.5</v>
      </c>
      <c r="X148">
        <v>63.2</v>
      </c>
      <c r="Y148">
        <v>50</v>
      </c>
      <c r="Z148">
        <v>50</v>
      </c>
      <c r="AA148" s="17">
        <f t="shared" si="9"/>
        <v>36252</v>
      </c>
      <c r="AB148">
        <f t="shared" si="10"/>
        <v>36572</v>
      </c>
      <c r="AC148" s="18">
        <f t="shared" si="11"/>
        <v>99</v>
      </c>
      <c r="AD148" s="22">
        <f t="shared" si="12"/>
        <v>99</v>
      </c>
    </row>
    <row r="149" spans="1:30" x14ac:dyDescent="0.25">
      <c r="A149" t="s">
        <v>260</v>
      </c>
      <c r="B149" s="20">
        <v>44921</v>
      </c>
      <c r="C149" t="s">
        <v>176</v>
      </c>
      <c r="D149" s="4">
        <v>32185</v>
      </c>
      <c r="E149" t="s">
        <v>36</v>
      </c>
      <c r="F149">
        <v>0</v>
      </c>
      <c r="G149" t="s">
        <v>128</v>
      </c>
      <c r="H149">
        <v>3</v>
      </c>
      <c r="I149">
        <v>60.1</v>
      </c>
      <c r="J149">
        <v>39.9</v>
      </c>
      <c r="K149">
        <v>8</v>
      </c>
      <c r="L149">
        <v>12</v>
      </c>
      <c r="M149">
        <v>2</v>
      </c>
      <c r="N149">
        <v>5</v>
      </c>
      <c r="O149">
        <v>2</v>
      </c>
      <c r="P149">
        <v>4</v>
      </c>
      <c r="Q149">
        <v>4</v>
      </c>
      <c r="R149">
        <v>3</v>
      </c>
      <c r="S149">
        <v>82.1</v>
      </c>
      <c r="T149">
        <v>74.2</v>
      </c>
      <c r="U149">
        <v>0</v>
      </c>
      <c r="V149">
        <v>2</v>
      </c>
      <c r="W149">
        <v>66.7</v>
      </c>
      <c r="X149">
        <v>58.3</v>
      </c>
      <c r="Y149">
        <v>36.700000000000003</v>
      </c>
      <c r="Z149">
        <v>63.3</v>
      </c>
      <c r="AA149" s="17">
        <f t="shared" si="9"/>
        <v>29185</v>
      </c>
      <c r="AB149">
        <f t="shared" si="10"/>
        <v>29261</v>
      </c>
      <c r="AC149" s="18">
        <f t="shared" si="11"/>
        <v>99</v>
      </c>
      <c r="AD149" s="22">
        <f t="shared" si="12"/>
        <v>99</v>
      </c>
    </row>
    <row r="150" spans="1:30" x14ac:dyDescent="0.25">
      <c r="A150" t="s">
        <v>260</v>
      </c>
      <c r="B150" s="20">
        <v>44921</v>
      </c>
      <c r="C150" t="s">
        <v>138</v>
      </c>
      <c r="D150" s="4">
        <v>42085</v>
      </c>
      <c r="E150" t="s">
        <v>12</v>
      </c>
      <c r="F150">
        <v>1</v>
      </c>
      <c r="G150" t="s">
        <v>17</v>
      </c>
      <c r="H150">
        <v>3</v>
      </c>
      <c r="I150">
        <v>48.1</v>
      </c>
      <c r="J150">
        <v>51.9</v>
      </c>
      <c r="K150">
        <v>12</v>
      </c>
      <c r="L150">
        <v>16</v>
      </c>
      <c r="M150">
        <v>6</v>
      </c>
      <c r="N150">
        <v>9</v>
      </c>
      <c r="O150">
        <v>3</v>
      </c>
      <c r="P150">
        <v>6</v>
      </c>
      <c r="Q150">
        <v>3</v>
      </c>
      <c r="R150">
        <v>1</v>
      </c>
      <c r="S150">
        <v>80.900000000000006</v>
      </c>
      <c r="T150">
        <v>81.7</v>
      </c>
      <c r="U150">
        <v>3</v>
      </c>
      <c r="V150">
        <v>5</v>
      </c>
      <c r="W150">
        <v>25</v>
      </c>
      <c r="X150">
        <v>36.799999999999997</v>
      </c>
      <c r="Y150">
        <v>42.9</v>
      </c>
      <c r="Z150">
        <v>57.1</v>
      </c>
      <c r="AA150" s="17">
        <f t="shared" si="9"/>
        <v>39085</v>
      </c>
      <c r="AB150">
        <f t="shared" si="10"/>
        <v>39000</v>
      </c>
      <c r="AC150" s="18">
        <f t="shared" si="11"/>
        <v>100</v>
      </c>
      <c r="AD150" s="22">
        <f t="shared" si="12"/>
        <v>100</v>
      </c>
    </row>
    <row r="151" spans="1:30" x14ac:dyDescent="0.25">
      <c r="A151" t="s">
        <v>259</v>
      </c>
      <c r="B151" s="20">
        <v>44922</v>
      </c>
      <c r="C151" t="s">
        <v>142</v>
      </c>
      <c r="D151" s="4">
        <v>40046</v>
      </c>
      <c r="E151" t="s">
        <v>21</v>
      </c>
      <c r="F151">
        <v>2</v>
      </c>
      <c r="G151" t="s">
        <v>57</v>
      </c>
      <c r="H151">
        <v>0</v>
      </c>
      <c r="I151">
        <v>60.3</v>
      </c>
      <c r="J151">
        <v>39.700000000000003</v>
      </c>
      <c r="K151">
        <v>15</v>
      </c>
      <c r="L151">
        <v>9</v>
      </c>
      <c r="M151">
        <v>5</v>
      </c>
      <c r="N151">
        <v>4</v>
      </c>
      <c r="O151">
        <v>7</v>
      </c>
      <c r="P151">
        <v>4</v>
      </c>
      <c r="Q151">
        <v>3</v>
      </c>
      <c r="R151">
        <v>1</v>
      </c>
      <c r="S151">
        <v>88.3</v>
      </c>
      <c r="T151">
        <v>81.2</v>
      </c>
      <c r="U151">
        <v>2</v>
      </c>
      <c r="V151">
        <v>0</v>
      </c>
      <c r="W151">
        <v>58.8</v>
      </c>
      <c r="X151">
        <v>64.7</v>
      </c>
      <c r="Y151">
        <v>42.1</v>
      </c>
      <c r="Z151">
        <v>57.9</v>
      </c>
      <c r="AA151" s="17">
        <f t="shared" si="9"/>
        <v>37046</v>
      </c>
      <c r="AB151">
        <f t="shared" si="10"/>
        <v>37343</v>
      </c>
      <c r="AC151" s="18">
        <f t="shared" si="11"/>
        <v>99</v>
      </c>
      <c r="AD151" s="22">
        <f t="shared" si="12"/>
        <v>99</v>
      </c>
    </row>
    <row r="152" spans="1:30" x14ac:dyDescent="0.25">
      <c r="A152" t="s">
        <v>259</v>
      </c>
      <c r="B152" s="20">
        <v>44922</v>
      </c>
      <c r="C152" t="s">
        <v>148</v>
      </c>
      <c r="D152" s="4">
        <v>73608</v>
      </c>
      <c r="E152" t="s">
        <v>127</v>
      </c>
      <c r="F152">
        <v>3</v>
      </c>
      <c r="G152" t="s">
        <v>123</v>
      </c>
      <c r="H152">
        <v>0</v>
      </c>
      <c r="I152">
        <v>65.8</v>
      </c>
      <c r="J152">
        <v>34.200000000000003</v>
      </c>
      <c r="K152">
        <v>17</v>
      </c>
      <c r="L152">
        <v>8</v>
      </c>
      <c r="M152">
        <v>8</v>
      </c>
      <c r="N152">
        <v>3</v>
      </c>
      <c r="O152">
        <v>3</v>
      </c>
      <c r="P152">
        <v>3</v>
      </c>
      <c r="Q152">
        <v>6</v>
      </c>
      <c r="R152">
        <v>2</v>
      </c>
      <c r="S152">
        <v>87</v>
      </c>
      <c r="T152">
        <v>71.3</v>
      </c>
      <c r="U152">
        <v>3</v>
      </c>
      <c r="V152">
        <v>0</v>
      </c>
      <c r="W152">
        <v>50</v>
      </c>
      <c r="X152">
        <v>64.7</v>
      </c>
      <c r="Y152">
        <v>53.8</v>
      </c>
      <c r="Z152">
        <v>46.2</v>
      </c>
      <c r="AA152" s="17">
        <f t="shared" si="9"/>
        <v>70608</v>
      </c>
      <c r="AB152">
        <f t="shared" si="10"/>
        <v>71310</v>
      </c>
      <c r="AC152" s="18">
        <f t="shared" si="11"/>
        <v>99</v>
      </c>
      <c r="AD152" s="22">
        <f t="shared" si="12"/>
        <v>99</v>
      </c>
    </row>
    <row r="153" spans="1:30" x14ac:dyDescent="0.25">
      <c r="A153" t="s">
        <v>258</v>
      </c>
      <c r="B153" s="20">
        <v>44923</v>
      </c>
      <c r="C153" t="s">
        <v>175</v>
      </c>
      <c r="D153" s="4">
        <v>36889</v>
      </c>
      <c r="E153" t="s">
        <v>27</v>
      </c>
      <c r="F153">
        <v>1</v>
      </c>
      <c r="G153" t="s">
        <v>19</v>
      </c>
      <c r="H153">
        <v>3</v>
      </c>
      <c r="I153">
        <v>31</v>
      </c>
      <c r="J153">
        <v>69</v>
      </c>
      <c r="K153">
        <v>9</v>
      </c>
      <c r="L153">
        <v>26</v>
      </c>
      <c r="M153">
        <v>1</v>
      </c>
      <c r="N153">
        <v>9</v>
      </c>
      <c r="O153">
        <v>4</v>
      </c>
      <c r="P153">
        <v>12</v>
      </c>
      <c r="Q153">
        <v>4</v>
      </c>
      <c r="R153">
        <v>5</v>
      </c>
      <c r="S153">
        <v>73.3</v>
      </c>
      <c r="T153">
        <v>87.5</v>
      </c>
      <c r="U153">
        <v>0</v>
      </c>
      <c r="V153">
        <v>6</v>
      </c>
      <c r="W153">
        <v>46.2</v>
      </c>
      <c r="X153">
        <v>53.8</v>
      </c>
      <c r="Y153">
        <v>41.7</v>
      </c>
      <c r="Z153">
        <v>58.3</v>
      </c>
      <c r="AA153" s="17">
        <f t="shared" si="9"/>
        <v>33889</v>
      </c>
      <c r="AB153">
        <f t="shared" si="10"/>
        <v>35220</v>
      </c>
      <c r="AC153" s="18">
        <f t="shared" si="11"/>
        <v>96</v>
      </c>
      <c r="AD153" s="22">
        <f t="shared" si="12"/>
        <v>96</v>
      </c>
    </row>
    <row r="154" spans="1:30" x14ac:dyDescent="0.25">
      <c r="A154" t="s">
        <v>257</v>
      </c>
      <c r="B154" s="20">
        <v>44925</v>
      </c>
      <c r="C154" t="s">
        <v>146</v>
      </c>
      <c r="D154" s="4">
        <v>53343</v>
      </c>
      <c r="E154" t="s">
        <v>17</v>
      </c>
      <c r="F154">
        <v>2</v>
      </c>
      <c r="G154" t="s">
        <v>36</v>
      </c>
      <c r="H154">
        <v>1</v>
      </c>
      <c r="I154">
        <v>57</v>
      </c>
      <c r="J154">
        <v>43</v>
      </c>
      <c r="K154">
        <v>21</v>
      </c>
      <c r="L154">
        <v>7</v>
      </c>
      <c r="M154">
        <v>5</v>
      </c>
      <c r="N154">
        <v>2</v>
      </c>
      <c r="O154">
        <v>10</v>
      </c>
      <c r="P154">
        <v>3</v>
      </c>
      <c r="Q154">
        <v>6</v>
      </c>
      <c r="R154">
        <v>2</v>
      </c>
      <c r="S154">
        <v>84.4</v>
      </c>
      <c r="T154">
        <v>78.599999999999994</v>
      </c>
      <c r="U154">
        <v>3</v>
      </c>
      <c r="V154">
        <v>3</v>
      </c>
      <c r="W154">
        <v>66.7</v>
      </c>
      <c r="X154">
        <v>35.700000000000003</v>
      </c>
      <c r="Y154">
        <v>46.7</v>
      </c>
      <c r="Z154">
        <v>53.3</v>
      </c>
      <c r="AA154" s="17">
        <f t="shared" si="9"/>
        <v>50343</v>
      </c>
      <c r="AB154">
        <f t="shared" si="10"/>
        <v>58000</v>
      </c>
      <c r="AC154" s="18">
        <f t="shared" si="11"/>
        <v>86</v>
      </c>
      <c r="AD154" s="22">
        <f t="shared" si="12"/>
        <v>86</v>
      </c>
    </row>
    <row r="155" spans="1:30" x14ac:dyDescent="0.25">
      <c r="A155" t="s">
        <v>257</v>
      </c>
      <c r="B155" s="20">
        <v>44925</v>
      </c>
      <c r="C155" t="s">
        <v>184</v>
      </c>
      <c r="D155" s="4">
        <v>62467</v>
      </c>
      <c r="E155" t="s">
        <v>130</v>
      </c>
      <c r="F155">
        <v>0</v>
      </c>
      <c r="G155" t="s">
        <v>60</v>
      </c>
      <c r="H155">
        <v>2</v>
      </c>
      <c r="I155">
        <v>63.1</v>
      </c>
      <c r="J155">
        <v>36.9</v>
      </c>
      <c r="K155">
        <v>20</v>
      </c>
      <c r="L155">
        <v>9</v>
      </c>
      <c r="M155">
        <v>5</v>
      </c>
      <c r="N155">
        <v>6</v>
      </c>
      <c r="O155">
        <v>9</v>
      </c>
      <c r="P155">
        <v>2</v>
      </c>
      <c r="Q155">
        <v>6</v>
      </c>
      <c r="R155">
        <v>1</v>
      </c>
      <c r="S155">
        <v>86.5</v>
      </c>
      <c r="T155">
        <v>75</v>
      </c>
      <c r="U155">
        <v>0</v>
      </c>
      <c r="V155">
        <v>1</v>
      </c>
      <c r="W155">
        <v>41.7</v>
      </c>
      <c r="X155">
        <v>50</v>
      </c>
      <c r="Y155">
        <v>54.8</v>
      </c>
      <c r="Z155">
        <v>45.2</v>
      </c>
      <c r="AA155" s="17">
        <f t="shared" si="9"/>
        <v>59467</v>
      </c>
      <c r="AB155">
        <f t="shared" si="10"/>
        <v>65013</v>
      </c>
      <c r="AC155" s="18">
        <f t="shared" si="11"/>
        <v>91</v>
      </c>
      <c r="AD155" s="22">
        <f t="shared" si="12"/>
        <v>91</v>
      </c>
    </row>
    <row r="156" spans="1:30" x14ac:dyDescent="0.25">
      <c r="A156" t="s">
        <v>256</v>
      </c>
      <c r="B156" s="20">
        <v>44926</v>
      </c>
      <c r="C156" t="s">
        <v>188</v>
      </c>
      <c r="D156" s="4">
        <v>9972</v>
      </c>
      <c r="E156" t="s">
        <v>57</v>
      </c>
      <c r="F156">
        <v>0</v>
      </c>
      <c r="G156" t="s">
        <v>29</v>
      </c>
      <c r="H156">
        <v>2</v>
      </c>
      <c r="I156">
        <v>58.9</v>
      </c>
      <c r="J156">
        <v>41.1</v>
      </c>
      <c r="K156">
        <v>6</v>
      </c>
      <c r="L156">
        <v>15</v>
      </c>
      <c r="M156">
        <v>2</v>
      </c>
      <c r="N156">
        <v>6</v>
      </c>
      <c r="O156">
        <v>3</v>
      </c>
      <c r="P156">
        <v>4</v>
      </c>
      <c r="Q156">
        <v>1</v>
      </c>
      <c r="R156">
        <v>5</v>
      </c>
      <c r="S156">
        <v>75.2</v>
      </c>
      <c r="T156">
        <v>68.8</v>
      </c>
      <c r="U156">
        <v>0</v>
      </c>
      <c r="V156">
        <v>2</v>
      </c>
      <c r="W156">
        <v>58.8</v>
      </c>
      <c r="X156">
        <v>56.7</v>
      </c>
      <c r="Y156">
        <v>52</v>
      </c>
      <c r="Z156">
        <v>48</v>
      </c>
      <c r="AA156" s="17">
        <f t="shared" si="9"/>
        <v>6972</v>
      </c>
      <c r="AB156">
        <f t="shared" si="10"/>
        <v>9879</v>
      </c>
      <c r="AC156" s="18">
        <f t="shared" si="11"/>
        <v>70</v>
      </c>
      <c r="AD156" s="22">
        <f t="shared" si="12"/>
        <v>70</v>
      </c>
    </row>
    <row r="157" spans="1:30" x14ac:dyDescent="0.25">
      <c r="A157" t="s">
        <v>256</v>
      </c>
      <c r="B157" s="20">
        <v>44926</v>
      </c>
      <c r="C157" t="s">
        <v>145</v>
      </c>
      <c r="D157" s="4">
        <v>24344</v>
      </c>
      <c r="E157" t="s">
        <v>44</v>
      </c>
      <c r="F157">
        <v>2</v>
      </c>
      <c r="G157" t="s">
        <v>28</v>
      </c>
      <c r="H157">
        <v>1</v>
      </c>
      <c r="I157">
        <v>62.5</v>
      </c>
      <c r="J157">
        <v>37.5</v>
      </c>
      <c r="K157">
        <v>8</v>
      </c>
      <c r="L157">
        <v>9</v>
      </c>
      <c r="M157">
        <v>2</v>
      </c>
      <c r="N157">
        <v>3</v>
      </c>
      <c r="O157">
        <v>5</v>
      </c>
      <c r="P157">
        <v>4</v>
      </c>
      <c r="Q157">
        <v>1</v>
      </c>
      <c r="R157">
        <v>2</v>
      </c>
      <c r="S157">
        <v>80.099999999999994</v>
      </c>
      <c r="T157">
        <v>65.5</v>
      </c>
      <c r="U157">
        <v>1</v>
      </c>
      <c r="V157">
        <v>1</v>
      </c>
      <c r="W157">
        <v>52.6</v>
      </c>
      <c r="X157">
        <v>66.7</v>
      </c>
      <c r="Y157">
        <v>40.6</v>
      </c>
      <c r="Z157">
        <v>59.4</v>
      </c>
      <c r="AA157" s="17">
        <f t="shared" si="9"/>
        <v>21344</v>
      </c>
      <c r="AB157">
        <f t="shared" si="10"/>
        <v>25700</v>
      </c>
      <c r="AC157" s="18">
        <f t="shared" si="11"/>
        <v>83</v>
      </c>
      <c r="AD157" s="22">
        <f t="shared" si="12"/>
        <v>83</v>
      </c>
    </row>
    <row r="158" spans="1:30" x14ac:dyDescent="0.25">
      <c r="A158" t="s">
        <v>256</v>
      </c>
      <c r="B158" s="20">
        <v>44926</v>
      </c>
      <c r="C158" t="s">
        <v>152</v>
      </c>
      <c r="D158" s="4">
        <v>31658</v>
      </c>
      <c r="E158" t="s">
        <v>173</v>
      </c>
      <c r="F158">
        <v>0</v>
      </c>
      <c r="G158" t="s">
        <v>127</v>
      </c>
      <c r="H158">
        <v>1</v>
      </c>
      <c r="I158">
        <v>45.7</v>
      </c>
      <c r="J158">
        <v>54.3</v>
      </c>
      <c r="K158">
        <v>10</v>
      </c>
      <c r="L158">
        <v>16</v>
      </c>
      <c r="M158">
        <v>3</v>
      </c>
      <c r="N158">
        <v>6</v>
      </c>
      <c r="O158">
        <v>1</v>
      </c>
      <c r="P158">
        <v>5</v>
      </c>
      <c r="Q158">
        <v>6</v>
      </c>
      <c r="R158">
        <v>5</v>
      </c>
      <c r="S158">
        <v>76.400000000000006</v>
      </c>
      <c r="T158">
        <v>81.2</v>
      </c>
      <c r="U158">
        <v>0</v>
      </c>
      <c r="V158">
        <v>1</v>
      </c>
      <c r="W158">
        <v>37.5</v>
      </c>
      <c r="X158">
        <v>29.4</v>
      </c>
      <c r="Y158">
        <v>41.2</v>
      </c>
      <c r="Z158">
        <v>58.8</v>
      </c>
      <c r="AA158" s="17">
        <f t="shared" si="9"/>
        <v>28658</v>
      </c>
      <c r="AB158">
        <f t="shared" si="10"/>
        <v>29050</v>
      </c>
      <c r="AC158" s="18">
        <f t="shared" si="11"/>
        <v>98</v>
      </c>
      <c r="AD158" s="22">
        <f t="shared" si="12"/>
        <v>98</v>
      </c>
    </row>
    <row r="159" spans="1:30" x14ac:dyDescent="0.25">
      <c r="A159" t="s">
        <v>256</v>
      </c>
      <c r="B159" s="20">
        <v>44926</v>
      </c>
      <c r="C159" t="s">
        <v>182</v>
      </c>
      <c r="D159" s="4">
        <v>52211</v>
      </c>
      <c r="E159" t="s">
        <v>128</v>
      </c>
      <c r="F159">
        <v>0</v>
      </c>
      <c r="G159" t="s">
        <v>27</v>
      </c>
      <c r="H159">
        <v>0</v>
      </c>
      <c r="I159">
        <v>59</v>
      </c>
      <c r="J159">
        <v>41</v>
      </c>
      <c r="K159">
        <v>16</v>
      </c>
      <c r="L159">
        <v>8</v>
      </c>
      <c r="M159">
        <v>5</v>
      </c>
      <c r="N159">
        <v>1</v>
      </c>
      <c r="O159">
        <v>9</v>
      </c>
      <c r="P159">
        <v>3</v>
      </c>
      <c r="Q159">
        <v>2</v>
      </c>
      <c r="R159">
        <v>4</v>
      </c>
      <c r="S159">
        <v>77.3</v>
      </c>
      <c r="T159">
        <v>63.6</v>
      </c>
      <c r="U159">
        <v>7</v>
      </c>
      <c r="V159">
        <v>0</v>
      </c>
      <c r="W159">
        <v>50</v>
      </c>
      <c r="X159">
        <v>56.3</v>
      </c>
      <c r="Y159">
        <v>55.6</v>
      </c>
      <c r="Z159">
        <v>44.4</v>
      </c>
      <c r="AA159" s="17">
        <f t="shared" si="9"/>
        <v>49211</v>
      </c>
      <c r="AB159">
        <f t="shared" si="10"/>
        <v>49350</v>
      </c>
      <c r="AC159" s="18">
        <f t="shared" si="11"/>
        <v>99</v>
      </c>
      <c r="AD159" s="22">
        <f t="shared" si="12"/>
        <v>99</v>
      </c>
    </row>
    <row r="160" spans="1:30" x14ac:dyDescent="0.25">
      <c r="A160" t="s">
        <v>256</v>
      </c>
      <c r="B160" s="20">
        <v>44926</v>
      </c>
      <c r="C160" t="s">
        <v>180</v>
      </c>
      <c r="D160" s="4">
        <v>31647</v>
      </c>
      <c r="E160" t="s">
        <v>126</v>
      </c>
      <c r="F160">
        <v>2</v>
      </c>
      <c r="G160" t="s">
        <v>20</v>
      </c>
      <c r="H160">
        <v>4</v>
      </c>
      <c r="I160">
        <v>67.8</v>
      </c>
      <c r="J160">
        <v>32.200000000000003</v>
      </c>
      <c r="K160">
        <v>9</v>
      </c>
      <c r="L160">
        <v>14</v>
      </c>
      <c r="M160">
        <v>5</v>
      </c>
      <c r="N160">
        <v>7</v>
      </c>
      <c r="O160">
        <v>2</v>
      </c>
      <c r="P160">
        <v>3</v>
      </c>
      <c r="Q160">
        <v>2</v>
      </c>
      <c r="R160">
        <v>4</v>
      </c>
      <c r="S160">
        <v>88.3</v>
      </c>
      <c r="T160">
        <v>72.599999999999994</v>
      </c>
      <c r="U160">
        <v>1</v>
      </c>
      <c r="V160">
        <v>2</v>
      </c>
      <c r="W160">
        <v>50</v>
      </c>
      <c r="X160">
        <v>47.4</v>
      </c>
      <c r="Y160">
        <v>60</v>
      </c>
      <c r="Z160">
        <v>40</v>
      </c>
      <c r="AA160" s="17">
        <f t="shared" si="9"/>
        <v>28647</v>
      </c>
      <c r="AB160">
        <f t="shared" si="10"/>
        <v>28876</v>
      </c>
      <c r="AC160" s="18">
        <f t="shared" si="11"/>
        <v>99</v>
      </c>
      <c r="AD160" s="22">
        <f t="shared" si="12"/>
        <v>99</v>
      </c>
    </row>
    <row r="161" spans="1:30" x14ac:dyDescent="0.25">
      <c r="A161" t="s">
        <v>256</v>
      </c>
      <c r="B161" s="20">
        <v>44926</v>
      </c>
      <c r="C161" t="s">
        <v>185</v>
      </c>
      <c r="D161" s="4">
        <v>53444</v>
      </c>
      <c r="E161" t="s">
        <v>19</v>
      </c>
      <c r="F161">
        <v>1</v>
      </c>
      <c r="G161" t="s">
        <v>23</v>
      </c>
      <c r="H161">
        <v>1</v>
      </c>
      <c r="I161">
        <v>73.7</v>
      </c>
      <c r="J161">
        <v>26.3</v>
      </c>
      <c r="K161">
        <v>16</v>
      </c>
      <c r="L161">
        <v>2</v>
      </c>
      <c r="M161">
        <v>3</v>
      </c>
      <c r="N161">
        <v>1</v>
      </c>
      <c r="O161">
        <v>6</v>
      </c>
      <c r="P161">
        <v>0</v>
      </c>
      <c r="Q161">
        <v>7</v>
      </c>
      <c r="R161">
        <v>1</v>
      </c>
      <c r="S161">
        <v>90.2</v>
      </c>
      <c r="T161">
        <v>77.7</v>
      </c>
      <c r="U161">
        <v>4</v>
      </c>
      <c r="V161">
        <v>0</v>
      </c>
      <c r="W161">
        <v>53.8</v>
      </c>
      <c r="X161">
        <v>53.8</v>
      </c>
      <c r="Y161">
        <v>56.3</v>
      </c>
      <c r="Z161">
        <v>43.8</v>
      </c>
      <c r="AA161" s="17">
        <f t="shared" si="9"/>
        <v>50444</v>
      </c>
      <c r="AB161">
        <f t="shared" si="10"/>
        <v>50400</v>
      </c>
      <c r="AC161" s="18">
        <f t="shared" si="11"/>
        <v>100</v>
      </c>
      <c r="AD161" s="22">
        <f t="shared" si="12"/>
        <v>100</v>
      </c>
    </row>
    <row r="162" spans="1:30" x14ac:dyDescent="0.25">
      <c r="A162" t="s">
        <v>255</v>
      </c>
      <c r="B162" s="20">
        <v>44927</v>
      </c>
      <c r="C162" t="s">
        <v>189</v>
      </c>
      <c r="D162" s="4">
        <v>29229</v>
      </c>
      <c r="E162" t="s">
        <v>123</v>
      </c>
      <c r="F162">
        <v>1</v>
      </c>
      <c r="G162" t="s">
        <v>21</v>
      </c>
      <c r="H162">
        <v>1</v>
      </c>
      <c r="I162">
        <v>27.7</v>
      </c>
      <c r="J162">
        <v>72.3</v>
      </c>
      <c r="K162">
        <v>12</v>
      </c>
      <c r="L162">
        <v>7</v>
      </c>
      <c r="M162">
        <v>5</v>
      </c>
      <c r="N162">
        <v>2</v>
      </c>
      <c r="O162">
        <v>4</v>
      </c>
      <c r="P162">
        <v>2</v>
      </c>
      <c r="Q162">
        <v>3</v>
      </c>
      <c r="R162">
        <v>3</v>
      </c>
      <c r="S162">
        <v>76.599999999999994</v>
      </c>
      <c r="T162">
        <v>89.4</v>
      </c>
      <c r="U162">
        <v>0</v>
      </c>
      <c r="V162">
        <v>1</v>
      </c>
      <c r="W162">
        <v>55.6</v>
      </c>
      <c r="X162">
        <v>56.3</v>
      </c>
      <c r="Y162">
        <v>46.2</v>
      </c>
      <c r="Z162">
        <v>53.8</v>
      </c>
      <c r="AA162" s="17">
        <f t="shared" si="9"/>
        <v>26229</v>
      </c>
      <c r="AB162">
        <f t="shared" si="10"/>
        <v>27445</v>
      </c>
      <c r="AC162" s="18">
        <f t="shared" si="11"/>
        <v>95</v>
      </c>
      <c r="AD162" s="22">
        <f t="shared" si="12"/>
        <v>95</v>
      </c>
    </row>
    <row r="163" spans="1:30" x14ac:dyDescent="0.25">
      <c r="A163" t="s">
        <v>255</v>
      </c>
      <c r="B163" s="20">
        <v>44927</v>
      </c>
      <c r="C163" t="s">
        <v>187</v>
      </c>
      <c r="D163" s="4">
        <v>61651</v>
      </c>
      <c r="E163" t="s">
        <v>129</v>
      </c>
      <c r="F163">
        <v>0</v>
      </c>
      <c r="G163" t="s">
        <v>12</v>
      </c>
      <c r="H163">
        <v>2</v>
      </c>
      <c r="I163">
        <v>59.3</v>
      </c>
      <c r="J163">
        <v>40.700000000000003</v>
      </c>
      <c r="K163">
        <v>6</v>
      </c>
      <c r="L163">
        <v>13</v>
      </c>
      <c r="M163">
        <v>2</v>
      </c>
      <c r="N163">
        <v>4</v>
      </c>
      <c r="O163">
        <v>2</v>
      </c>
      <c r="P163">
        <v>4</v>
      </c>
      <c r="Q163">
        <v>2</v>
      </c>
      <c r="R163">
        <v>5</v>
      </c>
      <c r="S163">
        <v>86</v>
      </c>
      <c r="T163">
        <v>79.7</v>
      </c>
      <c r="U163">
        <v>1</v>
      </c>
      <c r="V163">
        <v>1</v>
      </c>
      <c r="W163">
        <v>57.1</v>
      </c>
      <c r="X163">
        <v>50</v>
      </c>
      <c r="Y163">
        <v>58.8</v>
      </c>
      <c r="Z163">
        <v>41.2</v>
      </c>
      <c r="AA163" s="17">
        <f t="shared" si="9"/>
        <v>58651</v>
      </c>
      <c r="AB163">
        <f t="shared" si="10"/>
        <v>59850</v>
      </c>
      <c r="AC163" s="18">
        <f t="shared" si="11"/>
        <v>97</v>
      </c>
      <c r="AD163" s="22">
        <f t="shared" si="12"/>
        <v>97</v>
      </c>
    </row>
    <row r="164" spans="1:30" x14ac:dyDescent="0.25">
      <c r="A164" t="s">
        <v>254</v>
      </c>
      <c r="B164" s="20">
        <v>44928</v>
      </c>
      <c r="C164" t="s">
        <v>174</v>
      </c>
      <c r="D164" s="4">
        <v>17163</v>
      </c>
      <c r="E164" t="s">
        <v>60</v>
      </c>
      <c r="F164">
        <v>3</v>
      </c>
      <c r="G164" t="s">
        <v>17</v>
      </c>
      <c r="H164">
        <v>1</v>
      </c>
      <c r="I164">
        <v>27</v>
      </c>
      <c r="J164">
        <v>73</v>
      </c>
      <c r="K164">
        <v>10</v>
      </c>
      <c r="L164">
        <v>16</v>
      </c>
      <c r="M164">
        <v>7</v>
      </c>
      <c r="N164">
        <v>6</v>
      </c>
      <c r="O164">
        <v>2</v>
      </c>
      <c r="P164">
        <v>3</v>
      </c>
      <c r="Q164">
        <v>1</v>
      </c>
      <c r="R164">
        <v>7</v>
      </c>
      <c r="S164">
        <v>49.8</v>
      </c>
      <c r="T164">
        <v>83.3</v>
      </c>
      <c r="U164">
        <v>1</v>
      </c>
      <c r="V164">
        <v>3</v>
      </c>
      <c r="W164">
        <v>41.2</v>
      </c>
      <c r="X164">
        <v>55.6</v>
      </c>
      <c r="Y164">
        <v>48.4</v>
      </c>
      <c r="Z164">
        <v>51.6</v>
      </c>
      <c r="AA164" s="17">
        <f t="shared" si="9"/>
        <v>14163</v>
      </c>
      <c r="AB164">
        <f t="shared" si="10"/>
        <v>15250</v>
      </c>
      <c r="AC164" s="18">
        <f t="shared" si="11"/>
        <v>92</v>
      </c>
      <c r="AD164" s="22">
        <f t="shared" si="12"/>
        <v>92</v>
      </c>
    </row>
    <row r="165" spans="1:30" x14ac:dyDescent="0.25">
      <c r="A165" t="s">
        <v>253</v>
      </c>
      <c r="B165" s="20">
        <v>44929</v>
      </c>
      <c r="C165" t="s">
        <v>176</v>
      </c>
      <c r="D165" s="4">
        <v>30813</v>
      </c>
      <c r="E165" t="s">
        <v>36</v>
      </c>
      <c r="F165">
        <v>0</v>
      </c>
      <c r="G165" t="s">
        <v>44</v>
      </c>
      <c r="H165">
        <v>1</v>
      </c>
      <c r="I165">
        <v>61.4</v>
      </c>
      <c r="J165">
        <v>38.6</v>
      </c>
      <c r="K165">
        <v>15</v>
      </c>
      <c r="L165">
        <v>11</v>
      </c>
      <c r="M165">
        <v>6</v>
      </c>
      <c r="N165">
        <v>2</v>
      </c>
      <c r="O165">
        <v>6</v>
      </c>
      <c r="P165">
        <v>7</v>
      </c>
      <c r="Q165">
        <v>3</v>
      </c>
      <c r="R165">
        <v>2</v>
      </c>
      <c r="S165">
        <v>81.8</v>
      </c>
      <c r="T165">
        <v>75.400000000000006</v>
      </c>
      <c r="U165">
        <v>3</v>
      </c>
      <c r="V165">
        <v>2</v>
      </c>
      <c r="W165">
        <v>82.4</v>
      </c>
      <c r="X165">
        <v>61.5</v>
      </c>
      <c r="Y165">
        <v>56.5</v>
      </c>
      <c r="Z165">
        <v>43.5</v>
      </c>
      <c r="AA165" s="17">
        <f t="shared" si="9"/>
        <v>27813</v>
      </c>
      <c r="AB165">
        <f t="shared" si="10"/>
        <v>29261</v>
      </c>
      <c r="AC165" s="18">
        <f t="shared" si="11"/>
        <v>95</v>
      </c>
      <c r="AD165" s="22">
        <f t="shared" si="12"/>
        <v>95</v>
      </c>
    </row>
    <row r="166" spans="1:30" x14ac:dyDescent="0.25">
      <c r="A166" t="s">
        <v>253</v>
      </c>
      <c r="B166" s="20">
        <v>44929</v>
      </c>
      <c r="C166" t="s">
        <v>148</v>
      </c>
      <c r="D166" s="4">
        <v>73322</v>
      </c>
      <c r="E166" t="s">
        <v>127</v>
      </c>
      <c r="F166">
        <v>3</v>
      </c>
      <c r="G166" t="s">
        <v>57</v>
      </c>
      <c r="H166">
        <v>0</v>
      </c>
      <c r="I166">
        <v>58.5</v>
      </c>
      <c r="J166">
        <v>41.5</v>
      </c>
      <c r="K166">
        <v>18</v>
      </c>
      <c r="L166">
        <v>7</v>
      </c>
      <c r="M166">
        <v>6</v>
      </c>
      <c r="N166">
        <v>4</v>
      </c>
      <c r="O166">
        <v>6</v>
      </c>
      <c r="P166">
        <v>2</v>
      </c>
      <c r="Q166">
        <v>6</v>
      </c>
      <c r="R166">
        <v>1</v>
      </c>
      <c r="S166">
        <v>85.5</v>
      </c>
      <c r="T166">
        <v>79.099999999999994</v>
      </c>
      <c r="U166">
        <v>4</v>
      </c>
      <c r="V166">
        <v>1</v>
      </c>
      <c r="W166">
        <v>66.7</v>
      </c>
      <c r="X166">
        <v>33.299999999999997</v>
      </c>
      <c r="Y166">
        <v>40</v>
      </c>
      <c r="Z166">
        <v>60</v>
      </c>
      <c r="AA166" s="17">
        <f t="shared" si="9"/>
        <v>70322</v>
      </c>
      <c r="AB166">
        <f t="shared" si="10"/>
        <v>71310</v>
      </c>
      <c r="AC166" s="18">
        <f t="shared" si="11"/>
        <v>98</v>
      </c>
      <c r="AD166" s="22">
        <f t="shared" si="12"/>
        <v>98</v>
      </c>
    </row>
    <row r="167" spans="1:30" x14ac:dyDescent="0.25">
      <c r="A167" t="s">
        <v>253</v>
      </c>
      <c r="B167" s="20">
        <v>44929</v>
      </c>
      <c r="C167" t="s">
        <v>172</v>
      </c>
      <c r="D167" s="4">
        <v>60319</v>
      </c>
      <c r="E167" t="s">
        <v>20</v>
      </c>
      <c r="F167">
        <v>0</v>
      </c>
      <c r="G167" t="s">
        <v>128</v>
      </c>
      <c r="H167">
        <v>0</v>
      </c>
      <c r="I167">
        <v>66.8</v>
      </c>
      <c r="J167">
        <v>33.200000000000003</v>
      </c>
      <c r="K167">
        <v>17</v>
      </c>
      <c r="L167">
        <v>8</v>
      </c>
      <c r="M167">
        <v>4</v>
      </c>
      <c r="N167">
        <v>1</v>
      </c>
      <c r="O167">
        <v>8</v>
      </c>
      <c r="P167">
        <v>5</v>
      </c>
      <c r="Q167">
        <v>5</v>
      </c>
      <c r="R167">
        <v>2</v>
      </c>
      <c r="S167">
        <v>85.8</v>
      </c>
      <c r="T167">
        <v>71.5</v>
      </c>
      <c r="U167">
        <v>0</v>
      </c>
      <c r="V167">
        <v>2</v>
      </c>
      <c r="W167">
        <v>61.5</v>
      </c>
      <c r="X167">
        <v>69.599999999999994</v>
      </c>
      <c r="Y167">
        <v>42.9</v>
      </c>
      <c r="Z167">
        <v>57.1</v>
      </c>
      <c r="AA167" s="17">
        <f t="shared" si="9"/>
        <v>57319</v>
      </c>
      <c r="AB167">
        <f t="shared" si="10"/>
        <v>57704</v>
      </c>
      <c r="AC167" s="18">
        <f t="shared" si="11"/>
        <v>99</v>
      </c>
      <c r="AD167" s="22">
        <f t="shared" si="12"/>
        <v>99</v>
      </c>
    </row>
    <row r="168" spans="1:30" x14ac:dyDescent="0.25">
      <c r="A168" t="s">
        <v>252</v>
      </c>
      <c r="B168" s="20">
        <v>44930</v>
      </c>
      <c r="C168" t="s">
        <v>177</v>
      </c>
      <c r="D168" s="4">
        <v>30150</v>
      </c>
      <c r="E168" t="s">
        <v>28</v>
      </c>
      <c r="F168">
        <v>0</v>
      </c>
      <c r="G168" t="s">
        <v>123</v>
      </c>
      <c r="H168">
        <v>1</v>
      </c>
      <c r="I168">
        <v>62.5</v>
      </c>
      <c r="J168">
        <v>37.5</v>
      </c>
      <c r="K168">
        <v>8</v>
      </c>
      <c r="L168">
        <v>11</v>
      </c>
      <c r="M168">
        <v>0</v>
      </c>
      <c r="N168">
        <v>1</v>
      </c>
      <c r="O168">
        <v>6</v>
      </c>
      <c r="P168">
        <v>9</v>
      </c>
      <c r="Q168">
        <v>2</v>
      </c>
      <c r="R168">
        <v>1</v>
      </c>
      <c r="S168">
        <v>78</v>
      </c>
      <c r="T168">
        <v>63.6</v>
      </c>
      <c r="U168">
        <v>1</v>
      </c>
      <c r="V168">
        <v>2</v>
      </c>
      <c r="W168">
        <v>50</v>
      </c>
      <c r="X168">
        <v>50</v>
      </c>
      <c r="Y168">
        <v>45.5</v>
      </c>
      <c r="Z168">
        <v>54.5</v>
      </c>
      <c r="AA168" s="17">
        <f t="shared" si="9"/>
        <v>27150</v>
      </c>
      <c r="AB168">
        <f t="shared" si="10"/>
        <v>29384</v>
      </c>
      <c r="AC168" s="18">
        <f t="shared" si="11"/>
        <v>92</v>
      </c>
      <c r="AD168" s="22">
        <f t="shared" si="12"/>
        <v>92</v>
      </c>
    </row>
    <row r="169" spans="1:30" x14ac:dyDescent="0.25">
      <c r="A169" t="s">
        <v>252</v>
      </c>
      <c r="B169" s="20">
        <v>44930</v>
      </c>
      <c r="C169" t="s">
        <v>175</v>
      </c>
      <c r="D169" s="4">
        <v>36173</v>
      </c>
      <c r="E169" t="s">
        <v>27</v>
      </c>
      <c r="F169">
        <v>2</v>
      </c>
      <c r="G169" t="s">
        <v>130</v>
      </c>
      <c r="H169">
        <v>2</v>
      </c>
      <c r="I169">
        <v>63.3</v>
      </c>
      <c r="J169">
        <v>36.700000000000003</v>
      </c>
      <c r="K169">
        <v>14</v>
      </c>
      <c r="L169">
        <v>15</v>
      </c>
      <c r="M169">
        <v>6</v>
      </c>
      <c r="N169">
        <v>2</v>
      </c>
      <c r="O169">
        <v>6</v>
      </c>
      <c r="P169">
        <v>11</v>
      </c>
      <c r="Q169">
        <v>2</v>
      </c>
      <c r="R169">
        <v>2</v>
      </c>
      <c r="S169">
        <v>79.400000000000006</v>
      </c>
      <c r="T169">
        <v>62.5</v>
      </c>
      <c r="U169">
        <v>1</v>
      </c>
      <c r="V169">
        <v>0</v>
      </c>
      <c r="W169">
        <v>68.400000000000006</v>
      </c>
      <c r="X169">
        <v>47.4</v>
      </c>
      <c r="Y169">
        <v>47.9</v>
      </c>
      <c r="Z169">
        <v>52.1</v>
      </c>
      <c r="AA169" s="17">
        <f t="shared" si="9"/>
        <v>33173</v>
      </c>
      <c r="AB169">
        <f t="shared" si="10"/>
        <v>35220</v>
      </c>
      <c r="AC169" s="18">
        <f t="shared" si="11"/>
        <v>94</v>
      </c>
      <c r="AD169" s="22">
        <f t="shared" si="12"/>
        <v>94</v>
      </c>
    </row>
    <row r="170" spans="1:30" x14ac:dyDescent="0.25">
      <c r="A170" t="s">
        <v>252</v>
      </c>
      <c r="B170" s="20">
        <v>44930</v>
      </c>
      <c r="C170" t="s">
        <v>138</v>
      </c>
      <c r="D170" s="4">
        <v>39978</v>
      </c>
      <c r="E170" t="s">
        <v>12</v>
      </c>
      <c r="F170">
        <v>1</v>
      </c>
      <c r="G170" t="s">
        <v>173</v>
      </c>
      <c r="H170">
        <v>1</v>
      </c>
      <c r="I170">
        <v>55.9</v>
      </c>
      <c r="J170">
        <v>44.1</v>
      </c>
      <c r="K170">
        <v>13</v>
      </c>
      <c r="L170">
        <v>10</v>
      </c>
      <c r="M170">
        <v>4</v>
      </c>
      <c r="N170">
        <v>3</v>
      </c>
      <c r="O170">
        <v>3</v>
      </c>
      <c r="P170">
        <v>4</v>
      </c>
      <c r="Q170">
        <v>6</v>
      </c>
      <c r="R170">
        <v>3</v>
      </c>
      <c r="S170">
        <v>87.6</v>
      </c>
      <c r="T170">
        <v>83.8</v>
      </c>
      <c r="U170">
        <v>2</v>
      </c>
      <c r="V170">
        <v>0</v>
      </c>
      <c r="W170">
        <v>45.5</v>
      </c>
      <c r="X170">
        <v>58.6</v>
      </c>
      <c r="Y170">
        <v>40.9</v>
      </c>
      <c r="Z170">
        <v>59.1</v>
      </c>
      <c r="AA170" s="17">
        <f t="shared" si="9"/>
        <v>36978</v>
      </c>
      <c r="AB170">
        <f t="shared" si="10"/>
        <v>39000</v>
      </c>
      <c r="AC170" s="18">
        <f t="shared" si="11"/>
        <v>94</v>
      </c>
      <c r="AD170" s="22">
        <f t="shared" si="12"/>
        <v>94</v>
      </c>
    </row>
    <row r="171" spans="1:30" x14ac:dyDescent="0.25">
      <c r="A171" t="s">
        <v>252</v>
      </c>
      <c r="B171" s="20">
        <v>44930</v>
      </c>
      <c r="C171" t="s">
        <v>143</v>
      </c>
      <c r="D171" s="4">
        <v>25132</v>
      </c>
      <c r="E171" t="s">
        <v>29</v>
      </c>
      <c r="F171">
        <v>0</v>
      </c>
      <c r="G171" t="s">
        <v>129</v>
      </c>
      <c r="H171">
        <v>4</v>
      </c>
      <c r="I171">
        <v>46.7</v>
      </c>
      <c r="J171">
        <v>53.3</v>
      </c>
      <c r="K171">
        <v>19</v>
      </c>
      <c r="L171">
        <v>14</v>
      </c>
      <c r="M171">
        <v>4</v>
      </c>
      <c r="N171">
        <v>6</v>
      </c>
      <c r="O171">
        <v>9</v>
      </c>
      <c r="P171">
        <v>3</v>
      </c>
      <c r="Q171">
        <v>6</v>
      </c>
      <c r="R171">
        <v>5</v>
      </c>
      <c r="S171">
        <v>82</v>
      </c>
      <c r="T171">
        <v>86.2</v>
      </c>
      <c r="U171">
        <v>0</v>
      </c>
      <c r="V171">
        <v>2</v>
      </c>
      <c r="W171">
        <v>59.1</v>
      </c>
      <c r="X171">
        <v>63.6</v>
      </c>
      <c r="Y171">
        <v>29.6</v>
      </c>
      <c r="Z171">
        <v>70.400000000000006</v>
      </c>
      <c r="AA171" s="17">
        <f t="shared" si="9"/>
        <v>22132</v>
      </c>
      <c r="AB171">
        <f t="shared" si="10"/>
        <v>23486</v>
      </c>
      <c r="AC171" s="18">
        <f t="shared" si="11"/>
        <v>94</v>
      </c>
      <c r="AD171" s="22">
        <f t="shared" si="12"/>
        <v>94</v>
      </c>
    </row>
    <row r="172" spans="1:30" x14ac:dyDescent="0.25">
      <c r="A172" t="s">
        <v>251</v>
      </c>
      <c r="B172" s="20">
        <v>44931</v>
      </c>
      <c r="C172" t="s">
        <v>142</v>
      </c>
      <c r="D172" s="4">
        <v>39998</v>
      </c>
      <c r="E172" t="s">
        <v>21</v>
      </c>
      <c r="F172">
        <v>0</v>
      </c>
      <c r="G172" t="s">
        <v>19</v>
      </c>
      <c r="H172">
        <v>1</v>
      </c>
      <c r="I172">
        <v>47.7</v>
      </c>
      <c r="J172">
        <v>52.3</v>
      </c>
      <c r="K172">
        <v>8</v>
      </c>
      <c r="L172">
        <v>12</v>
      </c>
      <c r="M172">
        <v>2</v>
      </c>
      <c r="N172">
        <v>3</v>
      </c>
      <c r="O172">
        <v>3</v>
      </c>
      <c r="P172">
        <v>6</v>
      </c>
      <c r="Q172">
        <v>3</v>
      </c>
      <c r="R172">
        <v>3</v>
      </c>
      <c r="S172">
        <v>85.2</v>
      </c>
      <c r="T172">
        <v>89.5</v>
      </c>
      <c r="U172">
        <v>0</v>
      </c>
      <c r="V172">
        <v>3</v>
      </c>
      <c r="W172">
        <v>39.299999999999997</v>
      </c>
      <c r="X172">
        <v>68.400000000000006</v>
      </c>
      <c r="Y172">
        <v>40</v>
      </c>
      <c r="Z172">
        <v>60</v>
      </c>
      <c r="AA172" s="17">
        <f t="shared" si="9"/>
        <v>36998</v>
      </c>
      <c r="AB172">
        <f t="shared" si="10"/>
        <v>37343</v>
      </c>
      <c r="AC172" s="18">
        <f t="shared" si="11"/>
        <v>99</v>
      </c>
      <c r="AD172" s="22">
        <f t="shared" si="12"/>
        <v>99</v>
      </c>
    </row>
    <row r="173" spans="1:30" x14ac:dyDescent="0.25">
      <c r="A173" t="s">
        <v>250</v>
      </c>
      <c r="B173" s="20">
        <v>44938</v>
      </c>
      <c r="C173" t="s">
        <v>145</v>
      </c>
      <c r="D173" s="4">
        <v>24460</v>
      </c>
      <c r="E173" t="s">
        <v>44</v>
      </c>
      <c r="F173">
        <v>2</v>
      </c>
      <c r="G173" t="s">
        <v>21</v>
      </c>
      <c r="H173">
        <v>1</v>
      </c>
      <c r="I173">
        <v>47.4</v>
      </c>
      <c r="J173">
        <v>52.6</v>
      </c>
      <c r="K173">
        <v>8</v>
      </c>
      <c r="L173">
        <v>20</v>
      </c>
      <c r="M173">
        <v>3</v>
      </c>
      <c r="N173">
        <v>10</v>
      </c>
      <c r="O173">
        <v>3</v>
      </c>
      <c r="P173">
        <v>3</v>
      </c>
      <c r="Q173">
        <v>2</v>
      </c>
      <c r="R173">
        <v>7</v>
      </c>
      <c r="S173">
        <v>80.599999999999994</v>
      </c>
      <c r="T173">
        <v>81.599999999999994</v>
      </c>
      <c r="U173">
        <v>1</v>
      </c>
      <c r="V173">
        <v>3</v>
      </c>
      <c r="W173">
        <v>54.5</v>
      </c>
      <c r="X173">
        <v>61.1</v>
      </c>
      <c r="Y173">
        <v>66.7</v>
      </c>
      <c r="Z173">
        <v>33.299999999999997</v>
      </c>
      <c r="AA173" s="17">
        <f t="shared" si="9"/>
        <v>21460</v>
      </c>
      <c r="AB173">
        <f t="shared" si="10"/>
        <v>25700</v>
      </c>
      <c r="AC173" s="18">
        <f t="shared" si="11"/>
        <v>83</v>
      </c>
      <c r="AD173" s="22">
        <f t="shared" si="12"/>
        <v>83</v>
      </c>
    </row>
    <row r="174" spans="1:30" x14ac:dyDescent="0.25">
      <c r="A174" t="s">
        <v>249</v>
      </c>
      <c r="B174" s="20">
        <v>44939</v>
      </c>
      <c r="C174" t="s">
        <v>138</v>
      </c>
      <c r="D174" s="4">
        <v>42008</v>
      </c>
      <c r="E174" t="s">
        <v>12</v>
      </c>
      <c r="F174">
        <v>2</v>
      </c>
      <c r="G174" t="s">
        <v>27</v>
      </c>
      <c r="H174">
        <v>1</v>
      </c>
      <c r="I174">
        <v>53.4</v>
      </c>
      <c r="J174">
        <v>46.6</v>
      </c>
      <c r="K174">
        <v>11</v>
      </c>
      <c r="L174">
        <v>16</v>
      </c>
      <c r="M174">
        <v>5</v>
      </c>
      <c r="N174">
        <v>4</v>
      </c>
      <c r="O174">
        <v>4</v>
      </c>
      <c r="P174">
        <v>4</v>
      </c>
      <c r="Q174">
        <v>2</v>
      </c>
      <c r="R174">
        <v>8</v>
      </c>
      <c r="S174">
        <v>72.7</v>
      </c>
      <c r="T174">
        <v>69.5</v>
      </c>
      <c r="U174">
        <v>1</v>
      </c>
      <c r="V174">
        <v>3</v>
      </c>
      <c r="W174">
        <v>46.4</v>
      </c>
      <c r="X174">
        <v>51.9</v>
      </c>
      <c r="Y174">
        <v>59.3</v>
      </c>
      <c r="Z174">
        <v>40.700000000000003</v>
      </c>
      <c r="AA174" s="17">
        <f t="shared" si="9"/>
        <v>39008</v>
      </c>
      <c r="AB174">
        <f t="shared" si="10"/>
        <v>39000</v>
      </c>
      <c r="AC174" s="18">
        <f t="shared" si="11"/>
        <v>100</v>
      </c>
      <c r="AD174" s="22">
        <f t="shared" si="12"/>
        <v>100</v>
      </c>
    </row>
    <row r="175" spans="1:30" x14ac:dyDescent="0.25">
      <c r="A175" t="s">
        <v>248</v>
      </c>
      <c r="B175" s="20">
        <v>44940</v>
      </c>
      <c r="C175" t="s">
        <v>174</v>
      </c>
      <c r="D175" s="4">
        <v>17031</v>
      </c>
      <c r="E175" t="s">
        <v>60</v>
      </c>
      <c r="F175">
        <v>2</v>
      </c>
      <c r="G175" t="s">
        <v>57</v>
      </c>
      <c r="H175">
        <v>0</v>
      </c>
      <c r="I175">
        <v>49.9</v>
      </c>
      <c r="J175">
        <v>50.1</v>
      </c>
      <c r="K175">
        <v>12</v>
      </c>
      <c r="L175">
        <v>7</v>
      </c>
      <c r="M175">
        <v>4</v>
      </c>
      <c r="N175">
        <v>2</v>
      </c>
      <c r="O175">
        <v>7</v>
      </c>
      <c r="P175">
        <v>3</v>
      </c>
      <c r="Q175">
        <v>1</v>
      </c>
      <c r="R175">
        <v>2</v>
      </c>
      <c r="S175">
        <v>74.400000000000006</v>
      </c>
      <c r="T175">
        <v>77.7</v>
      </c>
      <c r="U175">
        <v>0</v>
      </c>
      <c r="V175">
        <v>0</v>
      </c>
      <c r="W175">
        <v>55</v>
      </c>
      <c r="X175">
        <v>57.9</v>
      </c>
      <c r="Y175">
        <v>47.4</v>
      </c>
      <c r="Z175">
        <v>52.6</v>
      </c>
      <c r="AA175" s="17">
        <f t="shared" si="9"/>
        <v>14031</v>
      </c>
      <c r="AB175">
        <f t="shared" si="10"/>
        <v>15250</v>
      </c>
      <c r="AC175" s="18">
        <f t="shared" si="11"/>
        <v>92</v>
      </c>
      <c r="AD175" s="22">
        <f t="shared" si="12"/>
        <v>92</v>
      </c>
    </row>
    <row r="176" spans="1:30" x14ac:dyDescent="0.25">
      <c r="A176" t="s">
        <v>248</v>
      </c>
      <c r="B176" s="20">
        <v>44940</v>
      </c>
      <c r="C176" t="s">
        <v>189</v>
      </c>
      <c r="D176" s="4">
        <v>29301</v>
      </c>
      <c r="E176" t="s">
        <v>123</v>
      </c>
      <c r="F176">
        <v>2</v>
      </c>
      <c r="G176" t="s">
        <v>36</v>
      </c>
      <c r="H176">
        <v>0</v>
      </c>
      <c r="I176">
        <v>38.799999999999997</v>
      </c>
      <c r="J176">
        <v>61.2</v>
      </c>
      <c r="K176">
        <v>15</v>
      </c>
      <c r="L176">
        <v>6</v>
      </c>
      <c r="M176">
        <v>5</v>
      </c>
      <c r="N176">
        <v>1</v>
      </c>
      <c r="O176">
        <v>4</v>
      </c>
      <c r="P176">
        <v>3</v>
      </c>
      <c r="Q176">
        <v>6</v>
      </c>
      <c r="R176">
        <v>2</v>
      </c>
      <c r="S176">
        <v>75.400000000000006</v>
      </c>
      <c r="T176">
        <v>82.6</v>
      </c>
      <c r="U176">
        <v>3</v>
      </c>
      <c r="V176">
        <v>2</v>
      </c>
      <c r="W176">
        <v>42.9</v>
      </c>
      <c r="X176">
        <v>58.3</v>
      </c>
      <c r="Y176">
        <v>54.2</v>
      </c>
      <c r="Z176">
        <v>45.8</v>
      </c>
      <c r="AA176" s="17">
        <f t="shared" si="9"/>
        <v>26301</v>
      </c>
      <c r="AB176">
        <f t="shared" si="10"/>
        <v>27445</v>
      </c>
      <c r="AC176" s="18">
        <f t="shared" si="11"/>
        <v>95</v>
      </c>
      <c r="AD176" s="22">
        <f t="shared" si="12"/>
        <v>95</v>
      </c>
    </row>
    <row r="177" spans="1:30" x14ac:dyDescent="0.25">
      <c r="A177" t="s">
        <v>248</v>
      </c>
      <c r="B177" s="20">
        <v>44940</v>
      </c>
      <c r="C177" t="s">
        <v>152</v>
      </c>
      <c r="D177" s="4">
        <v>31511</v>
      </c>
      <c r="E177" t="s">
        <v>173</v>
      </c>
      <c r="F177">
        <v>1</v>
      </c>
      <c r="G177" t="s">
        <v>130</v>
      </c>
      <c r="H177">
        <v>0</v>
      </c>
      <c r="I177">
        <v>58.5</v>
      </c>
      <c r="J177">
        <v>41.5</v>
      </c>
      <c r="K177">
        <v>17</v>
      </c>
      <c r="L177">
        <v>16</v>
      </c>
      <c r="M177">
        <v>4</v>
      </c>
      <c r="N177">
        <v>4</v>
      </c>
      <c r="O177">
        <v>6</v>
      </c>
      <c r="P177">
        <v>5</v>
      </c>
      <c r="Q177">
        <v>7</v>
      </c>
      <c r="R177">
        <v>7</v>
      </c>
      <c r="S177">
        <v>83.9</v>
      </c>
      <c r="T177">
        <v>78</v>
      </c>
      <c r="U177">
        <v>0</v>
      </c>
      <c r="V177">
        <v>0</v>
      </c>
      <c r="W177">
        <v>60</v>
      </c>
      <c r="X177">
        <v>36.4</v>
      </c>
      <c r="Y177">
        <v>45.7</v>
      </c>
      <c r="Z177">
        <v>54.3</v>
      </c>
      <c r="AA177" s="17">
        <f t="shared" si="9"/>
        <v>28511</v>
      </c>
      <c r="AB177">
        <f t="shared" si="10"/>
        <v>29050</v>
      </c>
      <c r="AC177" s="18">
        <f t="shared" si="11"/>
        <v>98</v>
      </c>
      <c r="AD177" s="22">
        <f t="shared" si="12"/>
        <v>98</v>
      </c>
    </row>
    <row r="178" spans="1:30" x14ac:dyDescent="0.25">
      <c r="A178" t="s">
        <v>248</v>
      </c>
      <c r="B178" s="20">
        <v>44940</v>
      </c>
      <c r="C178" t="s">
        <v>180</v>
      </c>
      <c r="D178" s="4">
        <v>31645</v>
      </c>
      <c r="E178" t="s">
        <v>126</v>
      </c>
      <c r="F178">
        <v>3</v>
      </c>
      <c r="G178" t="s">
        <v>17</v>
      </c>
      <c r="H178">
        <v>0</v>
      </c>
      <c r="I178">
        <v>60.8</v>
      </c>
      <c r="J178">
        <v>39.200000000000003</v>
      </c>
      <c r="K178">
        <v>16</v>
      </c>
      <c r="L178">
        <v>6</v>
      </c>
      <c r="M178">
        <v>9</v>
      </c>
      <c r="N178">
        <v>2</v>
      </c>
      <c r="O178">
        <v>3</v>
      </c>
      <c r="P178">
        <v>3</v>
      </c>
      <c r="Q178">
        <v>4</v>
      </c>
      <c r="R178">
        <v>1</v>
      </c>
      <c r="S178">
        <v>88.2</v>
      </c>
      <c r="T178">
        <v>83.3</v>
      </c>
      <c r="U178">
        <v>2</v>
      </c>
      <c r="V178">
        <v>2</v>
      </c>
      <c r="W178">
        <v>56.3</v>
      </c>
      <c r="X178">
        <v>63.2</v>
      </c>
      <c r="Y178">
        <v>58.3</v>
      </c>
      <c r="Z178">
        <v>41.7</v>
      </c>
      <c r="AA178" s="17">
        <f t="shared" si="9"/>
        <v>28645</v>
      </c>
      <c r="AB178">
        <f t="shared" si="10"/>
        <v>28876</v>
      </c>
      <c r="AC178" s="18">
        <f t="shared" si="11"/>
        <v>99</v>
      </c>
      <c r="AD178" s="22">
        <f t="shared" si="12"/>
        <v>99</v>
      </c>
    </row>
    <row r="179" spans="1:30" x14ac:dyDescent="0.25">
      <c r="A179" t="s">
        <v>248</v>
      </c>
      <c r="B179" s="20">
        <v>44940</v>
      </c>
      <c r="C179" t="s">
        <v>144</v>
      </c>
      <c r="D179" s="4">
        <v>39305</v>
      </c>
      <c r="E179" t="s">
        <v>23</v>
      </c>
      <c r="F179">
        <v>1</v>
      </c>
      <c r="G179" t="s">
        <v>28</v>
      </c>
      <c r="H179">
        <v>2</v>
      </c>
      <c r="I179">
        <v>52.2</v>
      </c>
      <c r="J179">
        <v>47.8</v>
      </c>
      <c r="K179">
        <v>12</v>
      </c>
      <c r="L179">
        <v>13</v>
      </c>
      <c r="M179">
        <v>4</v>
      </c>
      <c r="N179">
        <v>5</v>
      </c>
      <c r="O179">
        <v>5</v>
      </c>
      <c r="P179">
        <v>2</v>
      </c>
      <c r="Q179">
        <v>3</v>
      </c>
      <c r="R179">
        <v>6</v>
      </c>
      <c r="S179">
        <v>73.400000000000006</v>
      </c>
      <c r="T179">
        <v>70.7</v>
      </c>
      <c r="U179">
        <v>1</v>
      </c>
      <c r="V179">
        <v>1</v>
      </c>
      <c r="W179">
        <v>60</v>
      </c>
      <c r="X179">
        <v>66.7</v>
      </c>
      <c r="Y179">
        <v>44.7</v>
      </c>
      <c r="Z179">
        <v>55.3</v>
      </c>
      <c r="AA179" s="17">
        <f t="shared" si="9"/>
        <v>36305</v>
      </c>
      <c r="AB179">
        <f t="shared" si="10"/>
        <v>36572</v>
      </c>
      <c r="AC179" s="18">
        <f t="shared" si="11"/>
        <v>99</v>
      </c>
      <c r="AD179" s="22">
        <f t="shared" si="12"/>
        <v>99</v>
      </c>
    </row>
    <row r="180" spans="1:30" x14ac:dyDescent="0.25">
      <c r="A180" t="s">
        <v>247</v>
      </c>
      <c r="B180" s="20">
        <v>44941</v>
      </c>
      <c r="C180" t="s">
        <v>187</v>
      </c>
      <c r="D180" s="4">
        <v>61870</v>
      </c>
      <c r="E180" t="s">
        <v>129</v>
      </c>
      <c r="F180">
        <v>0</v>
      </c>
      <c r="G180" t="s">
        <v>20</v>
      </c>
      <c r="H180">
        <v>2</v>
      </c>
      <c r="I180">
        <v>50.6</v>
      </c>
      <c r="J180">
        <v>49.4</v>
      </c>
      <c r="K180">
        <v>17</v>
      </c>
      <c r="L180">
        <v>14</v>
      </c>
      <c r="M180">
        <v>7</v>
      </c>
      <c r="N180">
        <v>5</v>
      </c>
      <c r="O180">
        <v>4</v>
      </c>
      <c r="P180">
        <v>5</v>
      </c>
      <c r="Q180">
        <v>6</v>
      </c>
      <c r="R180">
        <v>4</v>
      </c>
      <c r="S180">
        <v>82.6</v>
      </c>
      <c r="T180">
        <v>84.2</v>
      </c>
      <c r="U180">
        <v>2</v>
      </c>
      <c r="V180">
        <v>2</v>
      </c>
      <c r="W180">
        <v>64.7</v>
      </c>
      <c r="X180">
        <v>61.5</v>
      </c>
      <c r="Y180">
        <v>62.9</v>
      </c>
      <c r="Z180">
        <v>37.1</v>
      </c>
      <c r="AA180" s="17">
        <f t="shared" si="9"/>
        <v>58870</v>
      </c>
      <c r="AB180">
        <f t="shared" si="10"/>
        <v>59850</v>
      </c>
      <c r="AC180" s="18">
        <f t="shared" si="11"/>
        <v>98</v>
      </c>
      <c r="AD180" s="22">
        <f t="shared" si="12"/>
        <v>98</v>
      </c>
    </row>
    <row r="181" spans="1:30" x14ac:dyDescent="0.25">
      <c r="A181" t="s">
        <v>247</v>
      </c>
      <c r="B181" s="20">
        <v>44941</v>
      </c>
      <c r="C181" t="s">
        <v>142</v>
      </c>
      <c r="D181" s="4">
        <v>40075</v>
      </c>
      <c r="E181" t="s">
        <v>21</v>
      </c>
      <c r="F181">
        <v>1</v>
      </c>
      <c r="G181" t="s">
        <v>29</v>
      </c>
      <c r="H181">
        <v>0</v>
      </c>
      <c r="I181">
        <v>62.5</v>
      </c>
      <c r="J181">
        <v>37.5</v>
      </c>
      <c r="K181">
        <v>15</v>
      </c>
      <c r="L181">
        <v>10</v>
      </c>
      <c r="M181">
        <v>5</v>
      </c>
      <c r="N181">
        <v>5</v>
      </c>
      <c r="O181">
        <v>5</v>
      </c>
      <c r="P181">
        <v>2</v>
      </c>
      <c r="Q181">
        <v>5</v>
      </c>
      <c r="R181">
        <v>3</v>
      </c>
      <c r="S181">
        <v>84.6</v>
      </c>
      <c r="T181">
        <v>74.3</v>
      </c>
      <c r="U181">
        <v>3</v>
      </c>
      <c r="V181">
        <v>0</v>
      </c>
      <c r="W181">
        <v>54.5</v>
      </c>
      <c r="X181">
        <v>45.8</v>
      </c>
      <c r="Y181">
        <v>66</v>
      </c>
      <c r="Z181">
        <v>34</v>
      </c>
      <c r="AA181" s="17">
        <f t="shared" si="9"/>
        <v>37075</v>
      </c>
      <c r="AB181">
        <f t="shared" si="10"/>
        <v>37343</v>
      </c>
      <c r="AC181" s="18">
        <f t="shared" si="11"/>
        <v>99</v>
      </c>
      <c r="AD181" s="22">
        <f t="shared" si="12"/>
        <v>99</v>
      </c>
    </row>
    <row r="182" spans="1:30" x14ac:dyDescent="0.25">
      <c r="A182" t="s">
        <v>247</v>
      </c>
      <c r="B182" s="20">
        <v>44941</v>
      </c>
      <c r="C182" t="s">
        <v>182</v>
      </c>
      <c r="D182" s="4">
        <v>52247</v>
      </c>
      <c r="E182" t="s">
        <v>128</v>
      </c>
      <c r="F182">
        <v>1</v>
      </c>
      <c r="G182" t="s">
        <v>44</v>
      </c>
      <c r="H182">
        <v>0</v>
      </c>
      <c r="I182">
        <v>62.3</v>
      </c>
      <c r="J182">
        <v>37.700000000000003</v>
      </c>
      <c r="K182">
        <v>20</v>
      </c>
      <c r="L182">
        <v>5</v>
      </c>
      <c r="M182">
        <v>5</v>
      </c>
      <c r="N182">
        <v>0</v>
      </c>
      <c r="O182">
        <v>7</v>
      </c>
      <c r="P182">
        <v>4</v>
      </c>
      <c r="Q182">
        <v>8</v>
      </c>
      <c r="R182">
        <v>1</v>
      </c>
      <c r="S182">
        <v>82.2</v>
      </c>
      <c r="T182">
        <v>70</v>
      </c>
      <c r="U182">
        <v>2</v>
      </c>
      <c r="V182">
        <v>0</v>
      </c>
      <c r="W182">
        <v>72.2</v>
      </c>
      <c r="X182">
        <v>58.8</v>
      </c>
      <c r="Y182">
        <v>46.2</v>
      </c>
      <c r="Z182">
        <v>53.8</v>
      </c>
      <c r="AA182" s="17">
        <f t="shared" si="9"/>
        <v>49247</v>
      </c>
      <c r="AB182">
        <f t="shared" si="10"/>
        <v>49350</v>
      </c>
      <c r="AC182" s="18">
        <f t="shared" si="11"/>
        <v>99</v>
      </c>
      <c r="AD182" s="22">
        <f t="shared" si="12"/>
        <v>99</v>
      </c>
    </row>
    <row r="183" spans="1:30" x14ac:dyDescent="0.25">
      <c r="A183" t="s">
        <v>246</v>
      </c>
      <c r="B183" s="20">
        <v>44944</v>
      </c>
      <c r="C183" t="s">
        <v>143</v>
      </c>
      <c r="D183" s="4">
        <v>23343</v>
      </c>
      <c r="E183" t="s">
        <v>29</v>
      </c>
      <c r="F183">
        <v>1</v>
      </c>
      <c r="G183" t="s">
        <v>127</v>
      </c>
      <c r="H183">
        <v>1</v>
      </c>
      <c r="I183">
        <v>39.4</v>
      </c>
      <c r="J183">
        <v>60.6</v>
      </c>
      <c r="K183">
        <v>10</v>
      </c>
      <c r="L183">
        <v>15</v>
      </c>
      <c r="M183">
        <v>5</v>
      </c>
      <c r="N183">
        <v>4</v>
      </c>
      <c r="O183">
        <v>3</v>
      </c>
      <c r="P183">
        <v>8</v>
      </c>
      <c r="Q183">
        <v>2</v>
      </c>
      <c r="R183">
        <v>3</v>
      </c>
      <c r="S183">
        <v>73.7</v>
      </c>
      <c r="T183">
        <v>81.3</v>
      </c>
      <c r="U183">
        <v>0</v>
      </c>
      <c r="V183">
        <v>2</v>
      </c>
      <c r="W183">
        <v>45.8</v>
      </c>
      <c r="X183">
        <v>56.3</v>
      </c>
      <c r="Y183">
        <v>59.1</v>
      </c>
      <c r="Z183">
        <v>40.9</v>
      </c>
      <c r="AA183" s="17">
        <f t="shared" si="9"/>
        <v>20343</v>
      </c>
      <c r="AB183">
        <f t="shared" si="10"/>
        <v>23486</v>
      </c>
      <c r="AC183" s="18">
        <f t="shared" si="11"/>
        <v>86</v>
      </c>
      <c r="AD183" s="22">
        <f t="shared" si="12"/>
        <v>86</v>
      </c>
    </row>
    <row r="184" spans="1:30" x14ac:dyDescent="0.25">
      <c r="A184" t="s">
        <v>245</v>
      </c>
      <c r="B184" s="20">
        <v>44945</v>
      </c>
      <c r="C184" t="s">
        <v>185</v>
      </c>
      <c r="D184" s="4">
        <v>53088</v>
      </c>
      <c r="E184" t="s">
        <v>19</v>
      </c>
      <c r="F184">
        <v>4</v>
      </c>
      <c r="G184" t="s">
        <v>129</v>
      </c>
      <c r="H184">
        <v>2</v>
      </c>
      <c r="I184">
        <v>57.9</v>
      </c>
      <c r="J184">
        <v>42.1</v>
      </c>
      <c r="K184">
        <v>16</v>
      </c>
      <c r="L184">
        <v>9</v>
      </c>
      <c r="M184">
        <v>6</v>
      </c>
      <c r="N184">
        <v>3</v>
      </c>
      <c r="O184">
        <v>5</v>
      </c>
      <c r="P184">
        <v>4</v>
      </c>
      <c r="Q184">
        <v>5</v>
      </c>
      <c r="R184">
        <v>2</v>
      </c>
      <c r="S184">
        <v>87.7</v>
      </c>
      <c r="T184">
        <v>83</v>
      </c>
      <c r="U184">
        <v>3</v>
      </c>
      <c r="V184">
        <v>1</v>
      </c>
      <c r="W184">
        <v>73.3</v>
      </c>
      <c r="X184">
        <v>56.3</v>
      </c>
      <c r="Y184">
        <v>50</v>
      </c>
      <c r="Z184">
        <v>50</v>
      </c>
      <c r="AA184" s="17">
        <f t="shared" si="9"/>
        <v>50088</v>
      </c>
      <c r="AB184">
        <f t="shared" si="10"/>
        <v>50400</v>
      </c>
      <c r="AC184" s="18">
        <f t="shared" si="11"/>
        <v>99</v>
      </c>
      <c r="AD184" s="22">
        <f t="shared" si="12"/>
        <v>99</v>
      </c>
    </row>
    <row r="185" spans="1:30" x14ac:dyDescent="0.25">
      <c r="A185" t="s">
        <v>244</v>
      </c>
      <c r="B185" s="20">
        <v>44947</v>
      </c>
      <c r="C185" t="s">
        <v>188</v>
      </c>
      <c r="D185" s="4">
        <v>10248</v>
      </c>
      <c r="E185" t="s">
        <v>57</v>
      </c>
      <c r="F185">
        <v>1</v>
      </c>
      <c r="G185" t="s">
        <v>123</v>
      </c>
      <c r="H185">
        <v>1</v>
      </c>
      <c r="I185">
        <v>42.4</v>
      </c>
      <c r="J185">
        <v>57.6</v>
      </c>
      <c r="K185">
        <v>16</v>
      </c>
      <c r="L185">
        <v>20</v>
      </c>
      <c r="M185">
        <v>4</v>
      </c>
      <c r="N185">
        <v>5</v>
      </c>
      <c r="O185">
        <v>8</v>
      </c>
      <c r="P185">
        <v>11</v>
      </c>
      <c r="Q185">
        <v>4</v>
      </c>
      <c r="R185">
        <v>4</v>
      </c>
      <c r="S185">
        <v>72.400000000000006</v>
      </c>
      <c r="T185">
        <v>80</v>
      </c>
      <c r="U185">
        <v>2</v>
      </c>
      <c r="V185">
        <v>1</v>
      </c>
      <c r="W185">
        <v>54.5</v>
      </c>
      <c r="X185">
        <v>47.6</v>
      </c>
      <c r="Y185">
        <v>52.6</v>
      </c>
      <c r="Z185">
        <v>47.4</v>
      </c>
      <c r="AA185" s="17">
        <f t="shared" si="9"/>
        <v>7248</v>
      </c>
      <c r="AB185">
        <f t="shared" si="10"/>
        <v>9879</v>
      </c>
      <c r="AC185" s="18">
        <f t="shared" si="11"/>
        <v>73</v>
      </c>
      <c r="AD185" s="22">
        <f t="shared" si="12"/>
        <v>73</v>
      </c>
    </row>
    <row r="186" spans="1:30" x14ac:dyDescent="0.25">
      <c r="A186" t="s">
        <v>244</v>
      </c>
      <c r="B186" s="20">
        <v>44947</v>
      </c>
      <c r="C186" t="s">
        <v>146</v>
      </c>
      <c r="D186" s="4">
        <v>53126</v>
      </c>
      <c r="E186" t="s">
        <v>17</v>
      </c>
      <c r="F186">
        <v>0</v>
      </c>
      <c r="G186" t="s">
        <v>21</v>
      </c>
      <c r="H186">
        <v>0</v>
      </c>
      <c r="I186">
        <v>47.5</v>
      </c>
      <c r="J186">
        <v>52.5</v>
      </c>
      <c r="K186">
        <v>15</v>
      </c>
      <c r="L186">
        <v>11</v>
      </c>
      <c r="M186">
        <v>3</v>
      </c>
      <c r="N186">
        <v>2</v>
      </c>
      <c r="O186">
        <v>6</v>
      </c>
      <c r="P186">
        <v>6</v>
      </c>
      <c r="Q186">
        <v>6</v>
      </c>
      <c r="R186">
        <v>3</v>
      </c>
      <c r="S186">
        <v>78.599999999999994</v>
      </c>
      <c r="T186">
        <v>80.900000000000006</v>
      </c>
      <c r="U186">
        <v>1</v>
      </c>
      <c r="V186">
        <v>4</v>
      </c>
      <c r="W186">
        <v>72.2</v>
      </c>
      <c r="X186">
        <v>38.1</v>
      </c>
      <c r="Y186">
        <v>40</v>
      </c>
      <c r="Z186">
        <v>60</v>
      </c>
      <c r="AA186" s="17">
        <f t="shared" si="9"/>
        <v>50126</v>
      </c>
      <c r="AB186">
        <f t="shared" si="10"/>
        <v>58000</v>
      </c>
      <c r="AC186" s="18">
        <f t="shared" si="11"/>
        <v>86</v>
      </c>
      <c r="AD186" s="22">
        <f t="shared" si="12"/>
        <v>86</v>
      </c>
    </row>
    <row r="187" spans="1:30" x14ac:dyDescent="0.25">
      <c r="A187" t="s">
        <v>244</v>
      </c>
      <c r="B187" s="20">
        <v>44947</v>
      </c>
      <c r="C187" t="s">
        <v>184</v>
      </c>
      <c r="D187" s="4">
        <v>62470</v>
      </c>
      <c r="E187" t="s">
        <v>130</v>
      </c>
      <c r="F187">
        <v>2</v>
      </c>
      <c r="G187" t="s">
        <v>23</v>
      </c>
      <c r="H187">
        <v>0</v>
      </c>
      <c r="I187">
        <v>32.200000000000003</v>
      </c>
      <c r="J187">
        <v>67.8</v>
      </c>
      <c r="K187">
        <v>11</v>
      </c>
      <c r="L187">
        <v>5</v>
      </c>
      <c r="M187">
        <v>4</v>
      </c>
      <c r="N187">
        <v>2</v>
      </c>
      <c r="O187">
        <v>3</v>
      </c>
      <c r="P187">
        <v>1</v>
      </c>
      <c r="Q187">
        <v>4</v>
      </c>
      <c r="R187">
        <v>2</v>
      </c>
      <c r="S187">
        <v>79.5</v>
      </c>
      <c r="T187">
        <v>87.7</v>
      </c>
      <c r="U187">
        <v>2</v>
      </c>
      <c r="V187">
        <v>0</v>
      </c>
      <c r="W187">
        <v>52.9</v>
      </c>
      <c r="X187">
        <v>52.6</v>
      </c>
      <c r="Y187">
        <v>48.6</v>
      </c>
      <c r="Z187">
        <v>51.4</v>
      </c>
      <c r="AA187" s="17">
        <f t="shared" si="9"/>
        <v>59470</v>
      </c>
      <c r="AB187">
        <f t="shared" si="10"/>
        <v>65013</v>
      </c>
      <c r="AC187" s="18">
        <f t="shared" si="11"/>
        <v>91</v>
      </c>
      <c r="AD187" s="22">
        <f t="shared" si="12"/>
        <v>91</v>
      </c>
    </row>
    <row r="188" spans="1:30" x14ac:dyDescent="0.25">
      <c r="A188" t="s">
        <v>244</v>
      </c>
      <c r="B188" s="20">
        <v>44947</v>
      </c>
      <c r="C188" t="s">
        <v>177</v>
      </c>
      <c r="D188" s="4">
        <v>30158</v>
      </c>
      <c r="E188" t="s">
        <v>28</v>
      </c>
      <c r="F188">
        <v>0</v>
      </c>
      <c r="G188" t="s">
        <v>12</v>
      </c>
      <c r="H188">
        <v>1</v>
      </c>
      <c r="I188">
        <v>36.5</v>
      </c>
      <c r="J188">
        <v>63.5</v>
      </c>
      <c r="K188">
        <v>8</v>
      </c>
      <c r="L188">
        <v>16</v>
      </c>
      <c r="M188">
        <v>5</v>
      </c>
      <c r="N188">
        <v>5</v>
      </c>
      <c r="O188">
        <v>2</v>
      </c>
      <c r="P188">
        <v>8</v>
      </c>
      <c r="Q188">
        <v>1</v>
      </c>
      <c r="R188">
        <v>3</v>
      </c>
      <c r="S188">
        <v>70.8</v>
      </c>
      <c r="T188">
        <v>80.599999999999994</v>
      </c>
      <c r="U188">
        <v>1</v>
      </c>
      <c r="V188">
        <v>1</v>
      </c>
      <c r="W188">
        <v>44</v>
      </c>
      <c r="X188">
        <v>47.4</v>
      </c>
      <c r="Y188">
        <v>62.2</v>
      </c>
      <c r="Z188">
        <v>37.799999999999997</v>
      </c>
      <c r="AA188" s="17">
        <f t="shared" si="9"/>
        <v>27158</v>
      </c>
      <c r="AB188">
        <f t="shared" si="10"/>
        <v>29384</v>
      </c>
      <c r="AC188" s="18">
        <f t="shared" si="11"/>
        <v>92</v>
      </c>
      <c r="AD188" s="22">
        <f t="shared" si="12"/>
        <v>92</v>
      </c>
    </row>
    <row r="189" spans="1:30" x14ac:dyDescent="0.25">
      <c r="A189" t="s">
        <v>244</v>
      </c>
      <c r="B189" s="20">
        <v>44947</v>
      </c>
      <c r="C189" t="s">
        <v>143</v>
      </c>
      <c r="D189" s="4">
        <v>25350</v>
      </c>
      <c r="E189" t="s">
        <v>29</v>
      </c>
      <c r="F189">
        <v>0</v>
      </c>
      <c r="G189" t="s">
        <v>128</v>
      </c>
      <c r="H189">
        <v>0</v>
      </c>
      <c r="I189">
        <v>39.200000000000003</v>
      </c>
      <c r="J189">
        <v>60.8</v>
      </c>
      <c r="K189">
        <v>6</v>
      </c>
      <c r="L189">
        <v>16</v>
      </c>
      <c r="M189">
        <v>1</v>
      </c>
      <c r="N189">
        <v>7</v>
      </c>
      <c r="O189">
        <v>1</v>
      </c>
      <c r="P189">
        <v>7</v>
      </c>
      <c r="Q189">
        <v>4</v>
      </c>
      <c r="R189">
        <v>2</v>
      </c>
      <c r="S189">
        <v>67.099999999999994</v>
      </c>
      <c r="T189">
        <v>79.099999999999994</v>
      </c>
      <c r="U189">
        <v>0</v>
      </c>
      <c r="V189">
        <v>2</v>
      </c>
      <c r="W189">
        <v>58.6</v>
      </c>
      <c r="X189">
        <v>47.4</v>
      </c>
      <c r="Y189">
        <v>47.4</v>
      </c>
      <c r="Z189">
        <v>52.6</v>
      </c>
      <c r="AA189" s="17">
        <f t="shared" si="9"/>
        <v>22350</v>
      </c>
      <c r="AB189">
        <f t="shared" si="10"/>
        <v>23486</v>
      </c>
      <c r="AC189" s="18">
        <f t="shared" si="11"/>
        <v>95</v>
      </c>
      <c r="AD189" s="22">
        <f t="shared" si="12"/>
        <v>95</v>
      </c>
    </row>
    <row r="190" spans="1:30" x14ac:dyDescent="0.25">
      <c r="A190" t="s">
        <v>244</v>
      </c>
      <c r="B190" s="20">
        <v>44947</v>
      </c>
      <c r="C190" t="s">
        <v>176</v>
      </c>
      <c r="D190" s="4">
        <v>32056</v>
      </c>
      <c r="E190" t="s">
        <v>36</v>
      </c>
      <c r="F190">
        <v>2</v>
      </c>
      <c r="G190" t="s">
        <v>126</v>
      </c>
      <c r="H190">
        <v>2</v>
      </c>
      <c r="I190">
        <v>36.6</v>
      </c>
      <c r="J190">
        <v>63.4</v>
      </c>
      <c r="K190">
        <v>9</v>
      </c>
      <c r="L190">
        <v>13</v>
      </c>
      <c r="M190">
        <v>2</v>
      </c>
      <c r="N190">
        <v>4</v>
      </c>
      <c r="O190">
        <v>2</v>
      </c>
      <c r="P190">
        <v>6</v>
      </c>
      <c r="Q190">
        <v>5</v>
      </c>
      <c r="R190">
        <v>3</v>
      </c>
      <c r="S190">
        <v>79.400000000000006</v>
      </c>
      <c r="T190">
        <v>88.4</v>
      </c>
      <c r="U190">
        <v>0</v>
      </c>
      <c r="V190">
        <v>3</v>
      </c>
      <c r="W190">
        <v>68.8</v>
      </c>
      <c r="X190">
        <v>54.5</v>
      </c>
      <c r="Y190">
        <v>60</v>
      </c>
      <c r="Z190">
        <v>40</v>
      </c>
      <c r="AA190" s="17">
        <f t="shared" si="9"/>
        <v>29056</v>
      </c>
      <c r="AB190">
        <f t="shared" si="10"/>
        <v>29261</v>
      </c>
      <c r="AC190" s="18">
        <f t="shared" si="11"/>
        <v>99</v>
      </c>
      <c r="AD190" s="22">
        <f t="shared" si="12"/>
        <v>99</v>
      </c>
    </row>
    <row r="191" spans="1:30" x14ac:dyDescent="0.25">
      <c r="A191" t="s">
        <v>243</v>
      </c>
      <c r="B191" s="20">
        <v>44948</v>
      </c>
      <c r="C191" t="s">
        <v>175</v>
      </c>
      <c r="D191" s="4">
        <v>36260</v>
      </c>
      <c r="E191" t="s">
        <v>27</v>
      </c>
      <c r="F191">
        <v>0</v>
      </c>
      <c r="G191" t="s">
        <v>60</v>
      </c>
      <c r="H191">
        <v>0</v>
      </c>
      <c r="I191">
        <v>58.5</v>
      </c>
      <c r="J191">
        <v>41.5</v>
      </c>
      <c r="K191">
        <v>9</v>
      </c>
      <c r="L191">
        <v>6</v>
      </c>
      <c r="M191">
        <v>5</v>
      </c>
      <c r="N191">
        <v>0</v>
      </c>
      <c r="O191">
        <v>1</v>
      </c>
      <c r="P191">
        <v>5</v>
      </c>
      <c r="Q191">
        <v>3</v>
      </c>
      <c r="R191">
        <v>1</v>
      </c>
      <c r="S191">
        <v>73.7</v>
      </c>
      <c r="T191">
        <v>64.5</v>
      </c>
      <c r="U191">
        <v>0</v>
      </c>
      <c r="V191">
        <v>0</v>
      </c>
      <c r="W191">
        <v>47.1</v>
      </c>
      <c r="X191">
        <v>42.9</v>
      </c>
      <c r="Y191">
        <v>50</v>
      </c>
      <c r="Z191">
        <v>50</v>
      </c>
      <c r="AA191" s="17">
        <f t="shared" si="9"/>
        <v>33260</v>
      </c>
      <c r="AB191">
        <f t="shared" si="10"/>
        <v>35220</v>
      </c>
      <c r="AC191" s="18">
        <f t="shared" si="11"/>
        <v>94</v>
      </c>
      <c r="AD191" s="22">
        <f t="shared" si="12"/>
        <v>94</v>
      </c>
    </row>
    <row r="192" spans="1:30" x14ac:dyDescent="0.25">
      <c r="A192" t="s">
        <v>243</v>
      </c>
      <c r="B192" s="20">
        <v>44948</v>
      </c>
      <c r="C192" t="s">
        <v>185</v>
      </c>
      <c r="D192" s="4">
        <v>53282</v>
      </c>
      <c r="E192" t="s">
        <v>19</v>
      </c>
      <c r="F192">
        <v>3</v>
      </c>
      <c r="G192" t="s">
        <v>173</v>
      </c>
      <c r="H192">
        <v>0</v>
      </c>
      <c r="I192">
        <v>55.3</v>
      </c>
      <c r="J192">
        <v>44.7</v>
      </c>
      <c r="K192">
        <v>13</v>
      </c>
      <c r="L192">
        <v>10</v>
      </c>
      <c r="M192">
        <v>7</v>
      </c>
      <c r="N192">
        <v>1</v>
      </c>
      <c r="O192">
        <v>5</v>
      </c>
      <c r="P192">
        <v>5</v>
      </c>
      <c r="Q192">
        <v>1</v>
      </c>
      <c r="R192">
        <v>4</v>
      </c>
      <c r="S192">
        <v>89.6</v>
      </c>
      <c r="T192">
        <v>85.6</v>
      </c>
      <c r="U192">
        <v>4</v>
      </c>
      <c r="V192">
        <v>0</v>
      </c>
      <c r="W192">
        <v>62.5</v>
      </c>
      <c r="X192">
        <v>53.3</v>
      </c>
      <c r="Y192">
        <v>60.9</v>
      </c>
      <c r="Z192">
        <v>39.1</v>
      </c>
      <c r="AA192" s="17">
        <f t="shared" si="9"/>
        <v>50282</v>
      </c>
      <c r="AB192">
        <f t="shared" si="10"/>
        <v>50400</v>
      </c>
      <c r="AC192" s="18">
        <f t="shared" si="11"/>
        <v>99</v>
      </c>
      <c r="AD192" s="22">
        <f t="shared" si="12"/>
        <v>99</v>
      </c>
    </row>
    <row r="193" spans="1:30" x14ac:dyDescent="0.25">
      <c r="A193" t="s">
        <v>243</v>
      </c>
      <c r="B193" s="20">
        <v>44948</v>
      </c>
      <c r="C193" t="s">
        <v>172</v>
      </c>
      <c r="D193" s="4">
        <v>60325</v>
      </c>
      <c r="E193" t="s">
        <v>20</v>
      </c>
      <c r="F193">
        <v>3</v>
      </c>
      <c r="G193" t="s">
        <v>127</v>
      </c>
      <c r="H193">
        <v>2</v>
      </c>
      <c r="I193">
        <v>57.2</v>
      </c>
      <c r="J193">
        <v>42.8</v>
      </c>
      <c r="K193">
        <v>25</v>
      </c>
      <c r="L193">
        <v>6</v>
      </c>
      <c r="M193">
        <v>5</v>
      </c>
      <c r="N193">
        <v>4</v>
      </c>
      <c r="O193">
        <v>7</v>
      </c>
      <c r="P193">
        <v>0</v>
      </c>
      <c r="Q193">
        <v>13</v>
      </c>
      <c r="R193">
        <v>2</v>
      </c>
      <c r="S193">
        <v>81.3</v>
      </c>
      <c r="T193">
        <v>77.5</v>
      </c>
      <c r="U193">
        <v>2</v>
      </c>
      <c r="V193">
        <v>0</v>
      </c>
      <c r="W193">
        <v>66.7</v>
      </c>
      <c r="X193">
        <v>52.4</v>
      </c>
      <c r="Y193">
        <v>40.700000000000003</v>
      </c>
      <c r="Z193">
        <v>59.3</v>
      </c>
      <c r="AA193" s="17">
        <f t="shared" si="9"/>
        <v>57325</v>
      </c>
      <c r="AB193">
        <f t="shared" si="10"/>
        <v>57704</v>
      </c>
      <c r="AC193" s="18">
        <f t="shared" si="11"/>
        <v>99</v>
      </c>
      <c r="AD193" s="22">
        <f t="shared" si="12"/>
        <v>99</v>
      </c>
    </row>
    <row r="194" spans="1:30" x14ac:dyDescent="0.25">
      <c r="A194" t="s">
        <v>242</v>
      </c>
      <c r="B194" s="20">
        <v>44949</v>
      </c>
      <c r="C194" t="s">
        <v>145</v>
      </c>
      <c r="D194" s="4">
        <v>24190</v>
      </c>
      <c r="E194" t="s">
        <v>44</v>
      </c>
      <c r="F194">
        <v>0</v>
      </c>
      <c r="G194" t="s">
        <v>129</v>
      </c>
      <c r="H194">
        <v>1</v>
      </c>
      <c r="I194">
        <v>52.9</v>
      </c>
      <c r="J194">
        <v>47.1</v>
      </c>
      <c r="K194">
        <v>10</v>
      </c>
      <c r="L194">
        <v>10</v>
      </c>
      <c r="M194">
        <v>5</v>
      </c>
      <c r="N194">
        <v>3</v>
      </c>
      <c r="O194">
        <v>4</v>
      </c>
      <c r="P194">
        <v>4</v>
      </c>
      <c r="Q194">
        <v>1</v>
      </c>
      <c r="R194">
        <v>3</v>
      </c>
      <c r="S194">
        <v>82.1</v>
      </c>
      <c r="T194">
        <v>78.3</v>
      </c>
      <c r="U194">
        <v>1</v>
      </c>
      <c r="V194">
        <v>1</v>
      </c>
      <c r="W194">
        <v>52.6</v>
      </c>
      <c r="X194">
        <v>52.2</v>
      </c>
      <c r="Y194">
        <v>30</v>
      </c>
      <c r="Z194">
        <v>70</v>
      </c>
      <c r="AA194" s="17">
        <f t="shared" ref="AA194:AA257" si="13">D194-3000</f>
        <v>21190</v>
      </c>
      <c r="AB194">
        <f t="shared" ref="AB194:AB257" si="14">VLOOKUP(E194,$AJ$1:$AN$23,5,FALSE)</f>
        <v>25700</v>
      </c>
      <c r="AC194" s="18">
        <f t="shared" ref="AC194:AC257" si="15">TRUNC(100*AA194/AB194,0)</f>
        <v>82</v>
      </c>
      <c r="AD194" s="22">
        <f t="shared" ref="AD194:AD257" si="16">AC194</f>
        <v>82</v>
      </c>
    </row>
    <row r="195" spans="1:30" x14ac:dyDescent="0.25">
      <c r="A195" t="s">
        <v>241</v>
      </c>
      <c r="B195" s="20">
        <v>44960</v>
      </c>
      <c r="C195" t="s">
        <v>142</v>
      </c>
      <c r="D195" s="4">
        <v>40041</v>
      </c>
      <c r="E195" t="s">
        <v>21</v>
      </c>
      <c r="F195">
        <v>0</v>
      </c>
      <c r="G195" t="s">
        <v>44</v>
      </c>
      <c r="H195">
        <v>0</v>
      </c>
      <c r="I195">
        <v>66.900000000000006</v>
      </c>
      <c r="J195">
        <v>33.1</v>
      </c>
      <c r="K195">
        <v>12</v>
      </c>
      <c r="L195">
        <v>10</v>
      </c>
      <c r="M195">
        <v>3</v>
      </c>
      <c r="N195">
        <v>4</v>
      </c>
      <c r="O195">
        <v>7</v>
      </c>
      <c r="P195">
        <v>3</v>
      </c>
      <c r="Q195">
        <v>2</v>
      </c>
      <c r="R195">
        <v>3</v>
      </c>
      <c r="S195">
        <v>85.8</v>
      </c>
      <c r="T195">
        <v>72.2</v>
      </c>
      <c r="U195">
        <v>1</v>
      </c>
      <c r="V195">
        <v>0</v>
      </c>
      <c r="W195">
        <v>54.2</v>
      </c>
      <c r="X195">
        <v>73.7</v>
      </c>
      <c r="Y195">
        <v>52</v>
      </c>
      <c r="Z195">
        <v>48</v>
      </c>
      <c r="AA195" s="17">
        <f t="shared" si="13"/>
        <v>37041</v>
      </c>
      <c r="AB195">
        <f t="shared" si="14"/>
        <v>37343</v>
      </c>
      <c r="AC195" s="18">
        <f t="shared" si="15"/>
        <v>99</v>
      </c>
      <c r="AD195" s="22">
        <f t="shared" si="16"/>
        <v>99</v>
      </c>
    </row>
    <row r="196" spans="1:30" x14ac:dyDescent="0.25">
      <c r="A196" t="s">
        <v>240</v>
      </c>
      <c r="B196" s="20">
        <v>44961</v>
      </c>
      <c r="C196" t="s">
        <v>174</v>
      </c>
      <c r="D196" s="4">
        <v>17051</v>
      </c>
      <c r="E196" t="s">
        <v>60</v>
      </c>
      <c r="F196">
        <v>3</v>
      </c>
      <c r="G196" t="s">
        <v>28</v>
      </c>
      <c r="H196">
        <v>0</v>
      </c>
      <c r="I196">
        <v>48.3</v>
      </c>
      <c r="J196">
        <v>51.7</v>
      </c>
      <c r="K196">
        <v>14</v>
      </c>
      <c r="L196">
        <v>14</v>
      </c>
      <c r="M196">
        <v>4</v>
      </c>
      <c r="N196">
        <v>6</v>
      </c>
      <c r="O196">
        <v>6</v>
      </c>
      <c r="P196">
        <v>4</v>
      </c>
      <c r="Q196">
        <v>4</v>
      </c>
      <c r="R196">
        <v>4</v>
      </c>
      <c r="S196">
        <v>69.2</v>
      </c>
      <c r="T196">
        <v>75.599999999999994</v>
      </c>
      <c r="U196">
        <v>3</v>
      </c>
      <c r="V196">
        <v>1</v>
      </c>
      <c r="W196">
        <v>53.8</v>
      </c>
      <c r="X196">
        <v>66.7</v>
      </c>
      <c r="Y196">
        <v>44.4</v>
      </c>
      <c r="Z196">
        <v>55.6</v>
      </c>
      <c r="AA196" s="17">
        <f t="shared" si="13"/>
        <v>14051</v>
      </c>
      <c r="AB196">
        <f t="shared" si="14"/>
        <v>15250</v>
      </c>
      <c r="AC196" s="18">
        <f t="shared" si="15"/>
        <v>92</v>
      </c>
      <c r="AD196" s="22">
        <f t="shared" si="16"/>
        <v>92</v>
      </c>
    </row>
    <row r="197" spans="1:30" x14ac:dyDescent="0.25">
      <c r="A197" t="s">
        <v>240</v>
      </c>
      <c r="B197" s="20">
        <v>44961</v>
      </c>
      <c r="C197" t="s">
        <v>148</v>
      </c>
      <c r="D197" s="4">
        <v>73420</v>
      </c>
      <c r="E197" t="s">
        <v>127</v>
      </c>
      <c r="F197">
        <v>2</v>
      </c>
      <c r="G197" t="s">
        <v>29</v>
      </c>
      <c r="H197">
        <v>1</v>
      </c>
      <c r="I197">
        <v>53.1</v>
      </c>
      <c r="J197">
        <v>46.9</v>
      </c>
      <c r="K197">
        <v>14</v>
      </c>
      <c r="L197">
        <v>10</v>
      </c>
      <c r="M197">
        <v>5</v>
      </c>
      <c r="N197">
        <v>3</v>
      </c>
      <c r="O197">
        <v>5</v>
      </c>
      <c r="P197">
        <v>5</v>
      </c>
      <c r="Q197">
        <v>4</v>
      </c>
      <c r="R197">
        <v>2</v>
      </c>
      <c r="S197">
        <v>85.4</v>
      </c>
      <c r="T197">
        <v>80.3</v>
      </c>
      <c r="U197">
        <v>0</v>
      </c>
      <c r="V197">
        <v>2</v>
      </c>
      <c r="W197">
        <v>57.1</v>
      </c>
      <c r="X197">
        <v>56.3</v>
      </c>
      <c r="Y197">
        <v>57.9</v>
      </c>
      <c r="Z197">
        <v>42.1</v>
      </c>
      <c r="AA197" s="17">
        <f t="shared" si="13"/>
        <v>70420</v>
      </c>
      <c r="AB197">
        <f t="shared" si="14"/>
        <v>71310</v>
      </c>
      <c r="AC197" s="18">
        <f t="shared" si="15"/>
        <v>98</v>
      </c>
      <c r="AD197" s="22">
        <f t="shared" si="16"/>
        <v>98</v>
      </c>
    </row>
    <row r="198" spans="1:30" x14ac:dyDescent="0.25">
      <c r="A198" t="s">
        <v>240</v>
      </c>
      <c r="B198" s="20">
        <v>44961</v>
      </c>
      <c r="C198" t="s">
        <v>152</v>
      </c>
      <c r="D198" s="4">
        <v>31664</v>
      </c>
      <c r="E198" t="s">
        <v>173</v>
      </c>
      <c r="F198">
        <v>3</v>
      </c>
      <c r="G198" t="s">
        <v>17</v>
      </c>
      <c r="H198">
        <v>0</v>
      </c>
      <c r="I198">
        <v>41.8</v>
      </c>
      <c r="J198">
        <v>58.2</v>
      </c>
      <c r="K198">
        <v>12</v>
      </c>
      <c r="L198">
        <v>22</v>
      </c>
      <c r="M198">
        <v>6</v>
      </c>
      <c r="N198">
        <v>4</v>
      </c>
      <c r="O198">
        <v>5</v>
      </c>
      <c r="P198">
        <v>8</v>
      </c>
      <c r="Q198">
        <v>1</v>
      </c>
      <c r="R198">
        <v>10</v>
      </c>
      <c r="S198">
        <v>74.900000000000006</v>
      </c>
      <c r="T198">
        <v>85.5</v>
      </c>
      <c r="U198">
        <v>3</v>
      </c>
      <c r="V198">
        <v>1</v>
      </c>
      <c r="W198">
        <v>62.5</v>
      </c>
      <c r="X198">
        <v>70</v>
      </c>
      <c r="Y198">
        <v>46.7</v>
      </c>
      <c r="Z198">
        <v>53.3</v>
      </c>
      <c r="AA198" s="17">
        <f t="shared" si="13"/>
        <v>28664</v>
      </c>
      <c r="AB198">
        <f t="shared" si="14"/>
        <v>29050</v>
      </c>
      <c r="AC198" s="18">
        <f t="shared" si="15"/>
        <v>98</v>
      </c>
      <c r="AD198" s="22">
        <f t="shared" si="16"/>
        <v>98</v>
      </c>
    </row>
    <row r="199" spans="1:30" x14ac:dyDescent="0.25">
      <c r="A199" t="s">
        <v>240</v>
      </c>
      <c r="B199" s="20">
        <v>44961</v>
      </c>
      <c r="C199" t="s">
        <v>144</v>
      </c>
      <c r="D199" s="4">
        <v>39314</v>
      </c>
      <c r="E199" t="s">
        <v>23</v>
      </c>
      <c r="F199">
        <v>1</v>
      </c>
      <c r="G199" t="s">
        <v>20</v>
      </c>
      <c r="H199">
        <v>0</v>
      </c>
      <c r="I199">
        <v>29.5</v>
      </c>
      <c r="J199">
        <v>70.5</v>
      </c>
      <c r="K199">
        <v>12</v>
      </c>
      <c r="L199">
        <v>15</v>
      </c>
      <c r="M199">
        <v>4</v>
      </c>
      <c r="N199">
        <v>3</v>
      </c>
      <c r="O199">
        <v>5</v>
      </c>
      <c r="P199">
        <v>7</v>
      </c>
      <c r="Q199">
        <v>3</v>
      </c>
      <c r="R199">
        <v>5</v>
      </c>
      <c r="S199">
        <v>71.400000000000006</v>
      </c>
      <c r="T199">
        <v>86.5</v>
      </c>
      <c r="U199">
        <v>4</v>
      </c>
      <c r="V199">
        <v>0</v>
      </c>
      <c r="W199">
        <v>61.1</v>
      </c>
      <c r="X199">
        <v>78.599999999999994</v>
      </c>
      <c r="Y199">
        <v>58.6</v>
      </c>
      <c r="Z199">
        <v>41.4</v>
      </c>
      <c r="AA199" s="17">
        <f t="shared" si="13"/>
        <v>36314</v>
      </c>
      <c r="AB199">
        <f t="shared" si="14"/>
        <v>36572</v>
      </c>
      <c r="AC199" s="18">
        <f t="shared" si="15"/>
        <v>99</v>
      </c>
      <c r="AD199" s="22">
        <f t="shared" si="16"/>
        <v>99</v>
      </c>
    </row>
    <row r="200" spans="1:30" x14ac:dyDescent="0.25">
      <c r="A200" t="s">
        <v>240</v>
      </c>
      <c r="B200" s="20">
        <v>44961</v>
      </c>
      <c r="C200" t="s">
        <v>180</v>
      </c>
      <c r="D200" s="4">
        <v>31600</v>
      </c>
      <c r="E200" t="s">
        <v>126</v>
      </c>
      <c r="F200">
        <v>1</v>
      </c>
      <c r="G200" t="s">
        <v>57</v>
      </c>
      <c r="H200">
        <v>0</v>
      </c>
      <c r="I200">
        <v>71.8</v>
      </c>
      <c r="J200">
        <v>28.2</v>
      </c>
      <c r="K200">
        <v>20</v>
      </c>
      <c r="L200">
        <v>12</v>
      </c>
      <c r="M200">
        <v>6</v>
      </c>
      <c r="N200">
        <v>2</v>
      </c>
      <c r="O200">
        <v>7</v>
      </c>
      <c r="P200">
        <v>7</v>
      </c>
      <c r="Q200">
        <v>7</v>
      </c>
      <c r="R200">
        <v>3</v>
      </c>
      <c r="S200">
        <v>89.3</v>
      </c>
      <c r="T200">
        <v>72.3</v>
      </c>
      <c r="U200">
        <v>2</v>
      </c>
      <c r="V200">
        <v>0</v>
      </c>
      <c r="W200">
        <v>52.9</v>
      </c>
      <c r="X200">
        <v>60</v>
      </c>
      <c r="Y200">
        <v>29.2</v>
      </c>
      <c r="Z200">
        <v>70.8</v>
      </c>
      <c r="AA200" s="17">
        <f t="shared" si="13"/>
        <v>28600</v>
      </c>
      <c r="AB200">
        <f t="shared" si="14"/>
        <v>28876</v>
      </c>
      <c r="AC200" s="18">
        <f t="shared" si="15"/>
        <v>99</v>
      </c>
      <c r="AD200" s="22">
        <f t="shared" si="16"/>
        <v>99</v>
      </c>
    </row>
    <row r="201" spans="1:30" x14ac:dyDescent="0.25">
      <c r="A201" t="s">
        <v>240</v>
      </c>
      <c r="B201" s="20">
        <v>44961</v>
      </c>
      <c r="C201" t="s">
        <v>182</v>
      </c>
      <c r="D201" s="4">
        <v>52256</v>
      </c>
      <c r="E201" t="s">
        <v>128</v>
      </c>
      <c r="F201">
        <v>1</v>
      </c>
      <c r="G201" t="s">
        <v>130</v>
      </c>
      <c r="H201">
        <v>1</v>
      </c>
      <c r="I201">
        <v>62.7</v>
      </c>
      <c r="J201">
        <v>37.299999999999997</v>
      </c>
      <c r="K201">
        <v>8</v>
      </c>
      <c r="L201">
        <v>10</v>
      </c>
      <c r="M201">
        <v>2</v>
      </c>
      <c r="N201">
        <v>1</v>
      </c>
      <c r="O201">
        <v>3</v>
      </c>
      <c r="P201">
        <v>5</v>
      </c>
      <c r="Q201">
        <v>3</v>
      </c>
      <c r="R201">
        <v>4</v>
      </c>
      <c r="S201">
        <v>80.599999999999994</v>
      </c>
      <c r="T201">
        <v>69</v>
      </c>
      <c r="U201">
        <v>3</v>
      </c>
      <c r="V201">
        <v>1</v>
      </c>
      <c r="W201">
        <v>61.5</v>
      </c>
      <c r="X201">
        <v>57.9</v>
      </c>
      <c r="Y201">
        <v>57.1</v>
      </c>
      <c r="Z201">
        <v>42.9</v>
      </c>
      <c r="AA201" s="17">
        <f t="shared" si="13"/>
        <v>49256</v>
      </c>
      <c r="AB201">
        <f t="shared" si="14"/>
        <v>49350</v>
      </c>
      <c r="AC201" s="18">
        <f t="shared" si="15"/>
        <v>99</v>
      </c>
      <c r="AD201" s="22">
        <f t="shared" si="16"/>
        <v>99</v>
      </c>
    </row>
    <row r="202" spans="1:30" x14ac:dyDescent="0.25">
      <c r="A202" t="s">
        <v>240</v>
      </c>
      <c r="B202" s="20">
        <v>44961</v>
      </c>
      <c r="C202" t="s">
        <v>138</v>
      </c>
      <c r="D202" s="4">
        <v>42055</v>
      </c>
      <c r="E202" t="s">
        <v>12</v>
      </c>
      <c r="F202">
        <v>2</v>
      </c>
      <c r="G202" t="s">
        <v>36</v>
      </c>
      <c r="H202">
        <v>4</v>
      </c>
      <c r="I202">
        <v>63.2</v>
      </c>
      <c r="J202">
        <v>36.799999999999997</v>
      </c>
      <c r="K202">
        <v>19</v>
      </c>
      <c r="L202">
        <v>9</v>
      </c>
      <c r="M202">
        <v>4</v>
      </c>
      <c r="N202">
        <v>5</v>
      </c>
      <c r="O202">
        <v>6</v>
      </c>
      <c r="P202">
        <v>4</v>
      </c>
      <c r="Q202">
        <v>9</v>
      </c>
      <c r="R202">
        <v>0</v>
      </c>
      <c r="S202">
        <v>86.7</v>
      </c>
      <c r="T202">
        <v>74.8</v>
      </c>
      <c r="U202">
        <v>0</v>
      </c>
      <c r="V202">
        <v>4</v>
      </c>
      <c r="W202">
        <v>66.7</v>
      </c>
      <c r="X202">
        <v>69.599999999999994</v>
      </c>
      <c r="Y202">
        <v>54.5</v>
      </c>
      <c r="Z202">
        <v>45.5</v>
      </c>
      <c r="AA202" s="17">
        <f t="shared" si="13"/>
        <v>39055</v>
      </c>
      <c r="AB202">
        <f t="shared" si="14"/>
        <v>39000</v>
      </c>
      <c r="AC202" s="18">
        <f t="shared" si="15"/>
        <v>100</v>
      </c>
      <c r="AD202" s="22">
        <f t="shared" si="16"/>
        <v>100</v>
      </c>
    </row>
    <row r="203" spans="1:30" x14ac:dyDescent="0.25">
      <c r="A203" t="s">
        <v>239</v>
      </c>
      <c r="B203" s="20">
        <v>44962</v>
      </c>
      <c r="C203" t="s">
        <v>189</v>
      </c>
      <c r="D203" s="4">
        <v>29363</v>
      </c>
      <c r="E203" t="s">
        <v>123</v>
      </c>
      <c r="F203">
        <v>1</v>
      </c>
      <c r="G203" t="s">
        <v>27</v>
      </c>
      <c r="H203">
        <v>0</v>
      </c>
      <c r="I203">
        <v>30.1</v>
      </c>
      <c r="J203">
        <v>69.900000000000006</v>
      </c>
      <c r="K203">
        <v>6</v>
      </c>
      <c r="L203">
        <v>10</v>
      </c>
      <c r="M203">
        <v>2</v>
      </c>
      <c r="N203">
        <v>4</v>
      </c>
      <c r="O203">
        <v>2</v>
      </c>
      <c r="P203">
        <v>3</v>
      </c>
      <c r="Q203">
        <v>2</v>
      </c>
      <c r="R203">
        <v>3</v>
      </c>
      <c r="S203">
        <v>54.5</v>
      </c>
      <c r="T203">
        <v>74.900000000000006</v>
      </c>
      <c r="U203">
        <v>0</v>
      </c>
      <c r="V203">
        <v>1</v>
      </c>
      <c r="W203">
        <v>65.400000000000006</v>
      </c>
      <c r="X203">
        <v>73.7</v>
      </c>
      <c r="Y203">
        <v>48.3</v>
      </c>
      <c r="Z203">
        <v>51.7</v>
      </c>
      <c r="AA203" s="17">
        <f t="shared" si="13"/>
        <v>26363</v>
      </c>
      <c r="AB203">
        <f t="shared" si="14"/>
        <v>27445</v>
      </c>
      <c r="AC203" s="18">
        <f t="shared" si="15"/>
        <v>96</v>
      </c>
      <c r="AD203" s="22">
        <f t="shared" si="16"/>
        <v>96</v>
      </c>
    </row>
    <row r="204" spans="1:30" x14ac:dyDescent="0.25">
      <c r="A204" t="s">
        <v>239</v>
      </c>
      <c r="B204" s="20">
        <v>44962</v>
      </c>
      <c r="C204" t="s">
        <v>187</v>
      </c>
      <c r="D204" s="4">
        <v>61747</v>
      </c>
      <c r="E204" t="s">
        <v>129</v>
      </c>
      <c r="F204">
        <v>1</v>
      </c>
      <c r="G204" t="s">
        <v>19</v>
      </c>
      <c r="H204">
        <v>0</v>
      </c>
      <c r="I204">
        <v>35.200000000000003</v>
      </c>
      <c r="J204">
        <v>64.8</v>
      </c>
      <c r="K204">
        <v>12</v>
      </c>
      <c r="L204">
        <v>15</v>
      </c>
      <c r="M204">
        <v>3</v>
      </c>
      <c r="N204">
        <v>5</v>
      </c>
      <c r="O204">
        <v>5</v>
      </c>
      <c r="P204">
        <v>5</v>
      </c>
      <c r="Q204">
        <v>4</v>
      </c>
      <c r="R204">
        <v>5</v>
      </c>
      <c r="S204">
        <v>74.599999999999994</v>
      </c>
      <c r="T204">
        <v>87.6</v>
      </c>
      <c r="U204">
        <v>2</v>
      </c>
      <c r="V204">
        <v>0</v>
      </c>
      <c r="W204">
        <v>57.1</v>
      </c>
      <c r="X204">
        <v>47.4</v>
      </c>
      <c r="Y204">
        <v>36</v>
      </c>
      <c r="Z204">
        <v>64</v>
      </c>
      <c r="AA204" s="17">
        <f t="shared" si="13"/>
        <v>58747</v>
      </c>
      <c r="AB204">
        <f t="shared" si="14"/>
        <v>59850</v>
      </c>
      <c r="AC204" s="18">
        <f t="shared" si="15"/>
        <v>98</v>
      </c>
      <c r="AD204" s="22">
        <f t="shared" si="16"/>
        <v>98</v>
      </c>
    </row>
    <row r="205" spans="1:30" x14ac:dyDescent="0.25">
      <c r="A205" t="s">
        <v>238</v>
      </c>
      <c r="B205" s="20">
        <v>44965</v>
      </c>
      <c r="C205" t="s">
        <v>148</v>
      </c>
      <c r="D205" s="4">
        <v>73456</v>
      </c>
      <c r="E205" t="s">
        <v>127</v>
      </c>
      <c r="F205">
        <v>2</v>
      </c>
      <c r="G205" t="s">
        <v>27</v>
      </c>
      <c r="H205">
        <v>2</v>
      </c>
      <c r="I205">
        <v>65.900000000000006</v>
      </c>
      <c r="J205">
        <v>34.1</v>
      </c>
      <c r="K205">
        <v>24</v>
      </c>
      <c r="L205">
        <v>8</v>
      </c>
      <c r="M205">
        <v>7</v>
      </c>
      <c r="N205">
        <v>2</v>
      </c>
      <c r="O205">
        <v>9</v>
      </c>
      <c r="P205">
        <v>4</v>
      </c>
      <c r="Q205">
        <v>8</v>
      </c>
      <c r="R205">
        <v>2</v>
      </c>
      <c r="S205">
        <v>81</v>
      </c>
      <c r="T205">
        <v>64.400000000000006</v>
      </c>
      <c r="U205">
        <v>1</v>
      </c>
      <c r="V205">
        <v>1</v>
      </c>
      <c r="W205">
        <v>57.9</v>
      </c>
      <c r="X205">
        <v>66.7</v>
      </c>
      <c r="Y205">
        <v>50</v>
      </c>
      <c r="Z205">
        <v>50</v>
      </c>
      <c r="AA205" s="17">
        <f t="shared" si="13"/>
        <v>70456</v>
      </c>
      <c r="AB205">
        <f t="shared" si="14"/>
        <v>71310</v>
      </c>
      <c r="AC205" s="18">
        <f t="shared" si="15"/>
        <v>98</v>
      </c>
      <c r="AD205" s="22">
        <f t="shared" si="16"/>
        <v>98</v>
      </c>
    </row>
    <row r="206" spans="1:30" x14ac:dyDescent="0.25">
      <c r="A206" t="s">
        <v>237</v>
      </c>
      <c r="B206" s="20">
        <v>44968</v>
      </c>
      <c r="C206" t="s">
        <v>188</v>
      </c>
      <c r="D206" s="4">
        <v>10419</v>
      </c>
      <c r="E206" t="s">
        <v>57</v>
      </c>
      <c r="F206">
        <v>1</v>
      </c>
      <c r="G206" t="s">
        <v>128</v>
      </c>
      <c r="H206">
        <v>1</v>
      </c>
      <c r="I206">
        <v>33.200000000000003</v>
      </c>
      <c r="J206">
        <v>66.8</v>
      </c>
      <c r="K206">
        <v>11</v>
      </c>
      <c r="L206">
        <v>15</v>
      </c>
      <c r="M206">
        <v>5</v>
      </c>
      <c r="N206">
        <v>7</v>
      </c>
      <c r="O206">
        <v>5</v>
      </c>
      <c r="P206">
        <v>5</v>
      </c>
      <c r="Q206">
        <v>1</v>
      </c>
      <c r="R206">
        <v>3</v>
      </c>
      <c r="S206">
        <v>66.7</v>
      </c>
      <c r="T206">
        <v>81.8</v>
      </c>
      <c r="U206">
        <v>2</v>
      </c>
      <c r="V206">
        <v>0</v>
      </c>
      <c r="W206">
        <v>55</v>
      </c>
      <c r="X206">
        <v>60</v>
      </c>
      <c r="Y206">
        <v>51.5</v>
      </c>
      <c r="Z206">
        <v>48.5</v>
      </c>
      <c r="AA206" s="17">
        <f t="shared" si="13"/>
        <v>7419</v>
      </c>
      <c r="AB206">
        <f t="shared" si="14"/>
        <v>9879</v>
      </c>
      <c r="AC206" s="18">
        <f t="shared" si="15"/>
        <v>75</v>
      </c>
      <c r="AD206" s="22">
        <f t="shared" si="16"/>
        <v>75</v>
      </c>
    </row>
    <row r="207" spans="1:30" x14ac:dyDescent="0.25">
      <c r="A207" t="s">
        <v>237</v>
      </c>
      <c r="B207" s="20">
        <v>44968</v>
      </c>
      <c r="C207" t="s">
        <v>145</v>
      </c>
      <c r="D207" s="4">
        <v>24244</v>
      </c>
      <c r="E207" t="s">
        <v>44</v>
      </c>
      <c r="F207">
        <v>2</v>
      </c>
      <c r="G207" t="s">
        <v>123</v>
      </c>
      <c r="H207">
        <v>0</v>
      </c>
      <c r="I207">
        <v>50</v>
      </c>
      <c r="J207">
        <v>50</v>
      </c>
      <c r="K207">
        <v>16</v>
      </c>
      <c r="L207">
        <v>10</v>
      </c>
      <c r="M207">
        <v>3</v>
      </c>
      <c r="N207">
        <v>1</v>
      </c>
      <c r="O207">
        <v>11</v>
      </c>
      <c r="P207">
        <v>7</v>
      </c>
      <c r="Q207">
        <v>2</v>
      </c>
      <c r="R207">
        <v>2</v>
      </c>
      <c r="S207">
        <v>79</v>
      </c>
      <c r="T207">
        <v>77</v>
      </c>
      <c r="U207">
        <v>2</v>
      </c>
      <c r="V207">
        <v>1</v>
      </c>
      <c r="W207">
        <v>50</v>
      </c>
      <c r="X207">
        <v>80</v>
      </c>
      <c r="Y207">
        <v>52.9</v>
      </c>
      <c r="Z207">
        <v>47.1</v>
      </c>
      <c r="AA207" s="17">
        <f t="shared" si="13"/>
        <v>21244</v>
      </c>
      <c r="AB207">
        <f t="shared" si="14"/>
        <v>25700</v>
      </c>
      <c r="AC207" s="18">
        <f t="shared" si="15"/>
        <v>82</v>
      </c>
      <c r="AD207" s="22">
        <f t="shared" si="16"/>
        <v>82</v>
      </c>
    </row>
    <row r="208" spans="1:30" x14ac:dyDescent="0.25">
      <c r="A208" t="s">
        <v>237</v>
      </c>
      <c r="B208" s="20">
        <v>44968</v>
      </c>
      <c r="C208" t="s">
        <v>184</v>
      </c>
      <c r="D208" s="4">
        <v>62471</v>
      </c>
      <c r="E208" t="s">
        <v>130</v>
      </c>
      <c r="F208">
        <v>1</v>
      </c>
      <c r="G208" t="s">
        <v>21</v>
      </c>
      <c r="H208">
        <v>1</v>
      </c>
      <c r="I208">
        <v>28.2</v>
      </c>
      <c r="J208">
        <v>71.8</v>
      </c>
      <c r="K208">
        <v>10</v>
      </c>
      <c r="L208">
        <v>12</v>
      </c>
      <c r="M208">
        <v>2</v>
      </c>
      <c r="N208">
        <v>4</v>
      </c>
      <c r="O208">
        <v>5</v>
      </c>
      <c r="P208">
        <v>4</v>
      </c>
      <c r="Q208">
        <v>3</v>
      </c>
      <c r="R208">
        <v>4</v>
      </c>
      <c r="S208">
        <v>75.7</v>
      </c>
      <c r="T208">
        <v>90.5</v>
      </c>
      <c r="U208">
        <v>1</v>
      </c>
      <c r="V208">
        <v>1</v>
      </c>
      <c r="W208">
        <v>60.9</v>
      </c>
      <c r="X208">
        <v>81</v>
      </c>
      <c r="Y208">
        <v>45.5</v>
      </c>
      <c r="Z208">
        <v>54.5</v>
      </c>
      <c r="AA208" s="17">
        <f t="shared" si="13"/>
        <v>59471</v>
      </c>
      <c r="AB208">
        <f t="shared" si="14"/>
        <v>65013</v>
      </c>
      <c r="AC208" s="18">
        <f t="shared" si="15"/>
        <v>91</v>
      </c>
      <c r="AD208" s="22">
        <f t="shared" si="16"/>
        <v>91</v>
      </c>
    </row>
    <row r="209" spans="1:30" x14ac:dyDescent="0.25">
      <c r="A209" t="s">
        <v>237</v>
      </c>
      <c r="B209" s="20">
        <v>44968</v>
      </c>
      <c r="C209" t="s">
        <v>177</v>
      </c>
      <c r="D209" s="4">
        <v>29751</v>
      </c>
      <c r="E209" t="s">
        <v>28</v>
      </c>
      <c r="F209">
        <v>1</v>
      </c>
      <c r="G209" t="s">
        <v>173</v>
      </c>
      <c r="H209">
        <v>2</v>
      </c>
      <c r="I209">
        <v>40.9</v>
      </c>
      <c r="J209">
        <v>59.1</v>
      </c>
      <c r="K209">
        <v>17</v>
      </c>
      <c r="L209">
        <v>11</v>
      </c>
      <c r="M209">
        <v>2</v>
      </c>
      <c r="N209">
        <v>2</v>
      </c>
      <c r="O209">
        <v>10</v>
      </c>
      <c r="P209">
        <v>2</v>
      </c>
      <c r="Q209">
        <v>5</v>
      </c>
      <c r="R209">
        <v>7</v>
      </c>
      <c r="S209">
        <v>70.5</v>
      </c>
      <c r="T209">
        <v>80.5</v>
      </c>
      <c r="U209">
        <v>0</v>
      </c>
      <c r="V209">
        <v>0</v>
      </c>
      <c r="W209">
        <v>68.8</v>
      </c>
      <c r="X209">
        <v>57.1</v>
      </c>
      <c r="Y209">
        <v>67.400000000000006</v>
      </c>
      <c r="Z209">
        <v>32.6</v>
      </c>
      <c r="AA209" s="17">
        <f t="shared" si="13"/>
        <v>26751</v>
      </c>
      <c r="AB209">
        <f t="shared" si="14"/>
        <v>29384</v>
      </c>
      <c r="AC209" s="18">
        <f t="shared" si="15"/>
        <v>91</v>
      </c>
      <c r="AD209" s="22">
        <f t="shared" si="16"/>
        <v>91</v>
      </c>
    </row>
    <row r="210" spans="1:30" x14ac:dyDescent="0.25">
      <c r="A210" t="s">
        <v>237</v>
      </c>
      <c r="B210" s="20">
        <v>44968</v>
      </c>
      <c r="C210" t="s">
        <v>143</v>
      </c>
      <c r="D210" s="4">
        <v>24827</v>
      </c>
      <c r="E210" t="s">
        <v>29</v>
      </c>
      <c r="F210">
        <v>1</v>
      </c>
      <c r="G210" t="s">
        <v>126</v>
      </c>
      <c r="H210">
        <v>1</v>
      </c>
      <c r="I210">
        <v>25.8</v>
      </c>
      <c r="J210">
        <v>74.2</v>
      </c>
      <c r="K210">
        <v>6</v>
      </c>
      <c r="L210">
        <v>17</v>
      </c>
      <c r="M210">
        <v>1</v>
      </c>
      <c r="N210">
        <v>7</v>
      </c>
      <c r="O210">
        <v>2</v>
      </c>
      <c r="P210">
        <v>5</v>
      </c>
      <c r="Q210">
        <v>3</v>
      </c>
      <c r="R210">
        <v>5</v>
      </c>
      <c r="S210">
        <v>70.400000000000006</v>
      </c>
      <c r="T210">
        <v>89.9</v>
      </c>
      <c r="U210">
        <v>0</v>
      </c>
      <c r="V210">
        <v>5</v>
      </c>
      <c r="W210">
        <v>73.7</v>
      </c>
      <c r="X210">
        <v>56.5</v>
      </c>
      <c r="Y210">
        <v>38.5</v>
      </c>
      <c r="Z210">
        <v>61.5</v>
      </c>
      <c r="AA210" s="17">
        <f t="shared" si="13"/>
        <v>21827</v>
      </c>
      <c r="AB210">
        <f t="shared" si="14"/>
        <v>23486</v>
      </c>
      <c r="AC210" s="18">
        <f t="shared" si="15"/>
        <v>92</v>
      </c>
      <c r="AD210" s="22">
        <f t="shared" si="16"/>
        <v>92</v>
      </c>
    </row>
    <row r="211" spans="1:30" x14ac:dyDescent="0.25">
      <c r="A211" t="s">
        <v>237</v>
      </c>
      <c r="B211" s="20">
        <v>44968</v>
      </c>
      <c r="C211" t="s">
        <v>172</v>
      </c>
      <c r="D211" s="4">
        <v>60254</v>
      </c>
      <c r="E211" t="s">
        <v>20</v>
      </c>
      <c r="F211">
        <v>1</v>
      </c>
      <c r="G211" t="s">
        <v>60</v>
      </c>
      <c r="H211">
        <v>1</v>
      </c>
      <c r="I211">
        <v>69.2</v>
      </c>
      <c r="J211">
        <v>30.8</v>
      </c>
      <c r="K211">
        <v>23</v>
      </c>
      <c r="L211">
        <v>9</v>
      </c>
      <c r="M211">
        <v>7</v>
      </c>
      <c r="N211">
        <v>2</v>
      </c>
      <c r="O211">
        <v>10</v>
      </c>
      <c r="P211">
        <v>4</v>
      </c>
      <c r="Q211">
        <v>6</v>
      </c>
      <c r="R211">
        <v>3</v>
      </c>
      <c r="S211">
        <v>86.4</v>
      </c>
      <c r="T211">
        <v>66.3</v>
      </c>
      <c r="U211">
        <v>1</v>
      </c>
      <c r="V211">
        <v>3</v>
      </c>
      <c r="W211">
        <v>60</v>
      </c>
      <c r="X211">
        <v>66.7</v>
      </c>
      <c r="Y211">
        <v>28.9</v>
      </c>
      <c r="Z211">
        <v>71.099999999999994</v>
      </c>
      <c r="AA211" s="17">
        <f t="shared" si="13"/>
        <v>57254</v>
      </c>
      <c r="AB211">
        <f t="shared" si="14"/>
        <v>57704</v>
      </c>
      <c r="AC211" s="18">
        <f t="shared" si="15"/>
        <v>99</v>
      </c>
      <c r="AD211" s="22">
        <f t="shared" si="16"/>
        <v>99</v>
      </c>
    </row>
    <row r="212" spans="1:30" x14ac:dyDescent="0.25">
      <c r="A212" t="s">
        <v>237</v>
      </c>
      <c r="B212" s="20">
        <v>44968</v>
      </c>
      <c r="C212" t="s">
        <v>176</v>
      </c>
      <c r="D212" s="4">
        <v>32184</v>
      </c>
      <c r="E212" t="s">
        <v>36</v>
      </c>
      <c r="F212">
        <v>4</v>
      </c>
      <c r="G212" t="s">
        <v>129</v>
      </c>
      <c r="H212">
        <v>1</v>
      </c>
      <c r="I212">
        <v>48.9</v>
      </c>
      <c r="J212">
        <v>51.1</v>
      </c>
      <c r="K212">
        <v>15</v>
      </c>
      <c r="L212">
        <v>11</v>
      </c>
      <c r="M212">
        <v>7</v>
      </c>
      <c r="N212">
        <v>4</v>
      </c>
      <c r="O212">
        <v>6</v>
      </c>
      <c r="P212">
        <v>6</v>
      </c>
      <c r="Q212">
        <v>2</v>
      </c>
      <c r="R212">
        <v>1</v>
      </c>
      <c r="S212">
        <v>78.400000000000006</v>
      </c>
      <c r="T212">
        <v>82.7</v>
      </c>
      <c r="U212">
        <v>2</v>
      </c>
      <c r="V212">
        <v>0</v>
      </c>
      <c r="W212">
        <v>63</v>
      </c>
      <c r="X212">
        <v>60</v>
      </c>
      <c r="Y212">
        <v>27.8</v>
      </c>
      <c r="Z212">
        <v>72.2</v>
      </c>
      <c r="AA212" s="17">
        <f t="shared" si="13"/>
        <v>29184</v>
      </c>
      <c r="AB212">
        <f t="shared" si="14"/>
        <v>29261</v>
      </c>
      <c r="AC212" s="18">
        <f t="shared" si="15"/>
        <v>99</v>
      </c>
      <c r="AD212" s="22">
        <f t="shared" si="16"/>
        <v>99</v>
      </c>
    </row>
    <row r="213" spans="1:30" x14ac:dyDescent="0.25">
      <c r="A213" t="s">
        <v>236</v>
      </c>
      <c r="B213" s="20">
        <v>44969</v>
      </c>
      <c r="C213" t="s">
        <v>175</v>
      </c>
      <c r="D213" s="4">
        <v>36919</v>
      </c>
      <c r="E213" t="s">
        <v>27</v>
      </c>
      <c r="F213">
        <v>0</v>
      </c>
      <c r="G213" t="s">
        <v>127</v>
      </c>
      <c r="H213">
        <v>2</v>
      </c>
      <c r="I213">
        <v>33</v>
      </c>
      <c r="J213">
        <v>67</v>
      </c>
      <c r="K213">
        <v>16</v>
      </c>
      <c r="L213">
        <v>11</v>
      </c>
      <c r="M213">
        <v>6</v>
      </c>
      <c r="N213">
        <v>5</v>
      </c>
      <c r="O213">
        <v>4</v>
      </c>
      <c r="P213">
        <v>4</v>
      </c>
      <c r="Q213">
        <v>6</v>
      </c>
      <c r="R213">
        <v>2</v>
      </c>
      <c r="S213">
        <v>67.7</v>
      </c>
      <c r="T213">
        <v>81.599999999999994</v>
      </c>
      <c r="U213">
        <v>1</v>
      </c>
      <c r="V213">
        <v>2</v>
      </c>
      <c r="W213">
        <v>56.5</v>
      </c>
      <c r="X213">
        <v>70</v>
      </c>
      <c r="Y213">
        <v>57.1</v>
      </c>
      <c r="Z213">
        <v>42.9</v>
      </c>
      <c r="AA213" s="17">
        <f t="shared" si="13"/>
        <v>33919</v>
      </c>
      <c r="AB213">
        <f t="shared" si="14"/>
        <v>35220</v>
      </c>
      <c r="AC213" s="18">
        <f t="shared" si="15"/>
        <v>96</v>
      </c>
      <c r="AD213" s="22">
        <f t="shared" si="16"/>
        <v>96</v>
      </c>
    </row>
    <row r="214" spans="1:30" x14ac:dyDescent="0.25">
      <c r="A214" t="s">
        <v>236</v>
      </c>
      <c r="B214" s="20">
        <v>44969</v>
      </c>
      <c r="C214" t="s">
        <v>185</v>
      </c>
      <c r="D214" s="4">
        <v>53392</v>
      </c>
      <c r="E214" t="s">
        <v>19</v>
      </c>
      <c r="F214">
        <v>3</v>
      </c>
      <c r="G214" t="s">
        <v>12</v>
      </c>
      <c r="H214">
        <v>1</v>
      </c>
      <c r="I214">
        <v>67.2</v>
      </c>
      <c r="J214">
        <v>32.799999999999997</v>
      </c>
      <c r="K214">
        <v>17</v>
      </c>
      <c r="L214">
        <v>6</v>
      </c>
      <c r="M214">
        <v>9</v>
      </c>
      <c r="N214">
        <v>2</v>
      </c>
      <c r="O214">
        <v>3</v>
      </c>
      <c r="P214">
        <v>2</v>
      </c>
      <c r="Q214">
        <v>5</v>
      </c>
      <c r="R214">
        <v>2</v>
      </c>
      <c r="S214">
        <v>90</v>
      </c>
      <c r="T214">
        <v>81.3</v>
      </c>
      <c r="U214">
        <v>4</v>
      </c>
      <c r="V214">
        <v>0</v>
      </c>
      <c r="W214">
        <v>42.9</v>
      </c>
      <c r="X214">
        <v>42.9</v>
      </c>
      <c r="Y214">
        <v>66.7</v>
      </c>
      <c r="Z214">
        <v>33.299999999999997</v>
      </c>
      <c r="AA214" s="17">
        <f t="shared" si="13"/>
        <v>50392</v>
      </c>
      <c r="AB214">
        <f t="shared" si="14"/>
        <v>50400</v>
      </c>
      <c r="AC214" s="18">
        <f t="shared" si="15"/>
        <v>99</v>
      </c>
      <c r="AD214" s="22">
        <f t="shared" si="16"/>
        <v>99</v>
      </c>
    </row>
    <row r="215" spans="1:30" x14ac:dyDescent="0.25">
      <c r="A215" t="s">
        <v>235</v>
      </c>
      <c r="B215" s="20">
        <v>44970</v>
      </c>
      <c r="C215" t="s">
        <v>146</v>
      </c>
      <c r="D215" s="4">
        <v>53027</v>
      </c>
      <c r="E215" t="s">
        <v>17</v>
      </c>
      <c r="F215">
        <v>2</v>
      </c>
      <c r="G215" t="s">
        <v>23</v>
      </c>
      <c r="H215">
        <v>0</v>
      </c>
      <c r="I215">
        <v>59.1</v>
      </c>
      <c r="J215">
        <v>40.9</v>
      </c>
      <c r="K215">
        <v>15</v>
      </c>
      <c r="L215">
        <v>6</v>
      </c>
      <c r="M215">
        <v>6</v>
      </c>
      <c r="N215">
        <v>1</v>
      </c>
      <c r="O215">
        <v>4</v>
      </c>
      <c r="P215">
        <v>4</v>
      </c>
      <c r="Q215">
        <v>5</v>
      </c>
      <c r="R215">
        <v>1</v>
      </c>
      <c r="S215">
        <v>86.3</v>
      </c>
      <c r="T215">
        <v>78.7</v>
      </c>
      <c r="U215">
        <v>2</v>
      </c>
      <c r="V215">
        <v>1</v>
      </c>
      <c r="W215">
        <v>71.400000000000006</v>
      </c>
      <c r="X215">
        <v>44.4</v>
      </c>
      <c r="Y215">
        <v>57.1</v>
      </c>
      <c r="Z215">
        <v>42.9</v>
      </c>
      <c r="AA215" s="17">
        <f t="shared" si="13"/>
        <v>50027</v>
      </c>
      <c r="AB215">
        <f t="shared" si="14"/>
        <v>58000</v>
      </c>
      <c r="AC215" s="18">
        <f t="shared" si="15"/>
        <v>86</v>
      </c>
      <c r="AD215" s="22">
        <f t="shared" si="16"/>
        <v>86</v>
      </c>
    </row>
    <row r="216" spans="1:30" x14ac:dyDescent="0.25">
      <c r="A216" t="s">
        <v>234</v>
      </c>
      <c r="B216" s="20">
        <v>44972</v>
      </c>
      <c r="C216" t="s">
        <v>172</v>
      </c>
      <c r="D216" s="4">
        <v>60276</v>
      </c>
      <c r="E216" t="s">
        <v>20</v>
      </c>
      <c r="F216">
        <v>1</v>
      </c>
      <c r="G216" t="s">
        <v>19</v>
      </c>
      <c r="H216">
        <v>3</v>
      </c>
      <c r="I216">
        <v>63.5</v>
      </c>
      <c r="J216">
        <v>36.5</v>
      </c>
      <c r="K216">
        <v>10</v>
      </c>
      <c r="L216">
        <v>9</v>
      </c>
      <c r="M216">
        <v>1</v>
      </c>
      <c r="N216">
        <v>6</v>
      </c>
      <c r="O216">
        <v>4</v>
      </c>
      <c r="P216">
        <v>1</v>
      </c>
      <c r="Q216">
        <v>5</v>
      </c>
      <c r="R216">
        <v>2</v>
      </c>
      <c r="S216">
        <v>83</v>
      </c>
      <c r="T216">
        <v>72.3</v>
      </c>
      <c r="U216">
        <v>2</v>
      </c>
      <c r="V216">
        <v>4</v>
      </c>
      <c r="W216">
        <v>38.5</v>
      </c>
      <c r="X216">
        <v>70.599999999999994</v>
      </c>
      <c r="Y216">
        <v>44</v>
      </c>
      <c r="Z216">
        <v>56</v>
      </c>
      <c r="AA216" s="17">
        <f t="shared" si="13"/>
        <v>57276</v>
      </c>
      <c r="AB216">
        <f t="shared" si="14"/>
        <v>57704</v>
      </c>
      <c r="AC216" s="18">
        <f t="shared" si="15"/>
        <v>99</v>
      </c>
      <c r="AD216" s="22">
        <f t="shared" si="16"/>
        <v>99</v>
      </c>
    </row>
    <row r="217" spans="1:30" x14ac:dyDescent="0.25">
      <c r="A217" t="s">
        <v>233</v>
      </c>
      <c r="B217" s="20">
        <v>44975</v>
      </c>
      <c r="C217" t="s">
        <v>174</v>
      </c>
      <c r="D217" s="4">
        <v>17122</v>
      </c>
      <c r="E217" t="s">
        <v>60</v>
      </c>
      <c r="F217">
        <v>1</v>
      </c>
      <c r="G217" t="s">
        <v>29</v>
      </c>
      <c r="H217">
        <v>1</v>
      </c>
      <c r="I217">
        <v>58.7</v>
      </c>
      <c r="J217">
        <v>41.3</v>
      </c>
      <c r="K217">
        <v>12</v>
      </c>
      <c r="L217">
        <v>10</v>
      </c>
      <c r="M217">
        <v>5</v>
      </c>
      <c r="N217">
        <v>4</v>
      </c>
      <c r="O217">
        <v>6</v>
      </c>
      <c r="P217">
        <v>3</v>
      </c>
      <c r="Q217">
        <v>1</v>
      </c>
      <c r="R217">
        <v>3</v>
      </c>
      <c r="S217">
        <v>82.4</v>
      </c>
      <c r="T217">
        <v>77.8</v>
      </c>
      <c r="U217">
        <v>1</v>
      </c>
      <c r="V217">
        <v>1</v>
      </c>
      <c r="W217">
        <v>50</v>
      </c>
      <c r="X217">
        <v>60</v>
      </c>
      <c r="Y217">
        <v>60</v>
      </c>
      <c r="Z217">
        <v>40</v>
      </c>
      <c r="AA217" s="17">
        <f t="shared" si="13"/>
        <v>14122</v>
      </c>
      <c r="AB217">
        <f t="shared" si="14"/>
        <v>15250</v>
      </c>
      <c r="AC217" s="18">
        <f t="shared" si="15"/>
        <v>92</v>
      </c>
      <c r="AD217" s="22">
        <f t="shared" si="16"/>
        <v>92</v>
      </c>
    </row>
    <row r="218" spans="1:30" x14ac:dyDescent="0.25">
      <c r="A218" t="s">
        <v>233</v>
      </c>
      <c r="B218" s="20">
        <v>44975</v>
      </c>
      <c r="C218" t="s">
        <v>189</v>
      </c>
      <c r="D218" s="4">
        <v>29365</v>
      </c>
      <c r="E218" t="s">
        <v>123</v>
      </c>
      <c r="F218">
        <v>1</v>
      </c>
      <c r="G218" t="s">
        <v>19</v>
      </c>
      <c r="H218">
        <v>1</v>
      </c>
      <c r="I218">
        <v>27</v>
      </c>
      <c r="J218">
        <v>73</v>
      </c>
      <c r="K218">
        <v>4</v>
      </c>
      <c r="L218">
        <v>23</v>
      </c>
      <c r="M218">
        <v>1</v>
      </c>
      <c r="N218">
        <v>6</v>
      </c>
      <c r="O218">
        <v>2</v>
      </c>
      <c r="P218">
        <v>11</v>
      </c>
      <c r="Q218">
        <v>1</v>
      </c>
      <c r="R218">
        <v>6</v>
      </c>
      <c r="S218">
        <v>65.099999999999994</v>
      </c>
      <c r="T218">
        <v>88</v>
      </c>
      <c r="U218">
        <v>1</v>
      </c>
      <c r="V218">
        <v>2</v>
      </c>
      <c r="W218">
        <v>61.5</v>
      </c>
      <c r="X218">
        <v>70</v>
      </c>
      <c r="Y218">
        <v>56.5</v>
      </c>
      <c r="Z218">
        <v>43.5</v>
      </c>
      <c r="AA218" s="17">
        <f t="shared" si="13"/>
        <v>26365</v>
      </c>
      <c r="AB218">
        <f t="shared" si="14"/>
        <v>27445</v>
      </c>
      <c r="AC218" s="18">
        <f t="shared" si="15"/>
        <v>96</v>
      </c>
      <c r="AD218" s="22">
        <f t="shared" si="16"/>
        <v>96</v>
      </c>
    </row>
    <row r="219" spans="1:30" x14ac:dyDescent="0.25">
      <c r="A219" t="s">
        <v>233</v>
      </c>
      <c r="B219" s="20">
        <v>44975</v>
      </c>
      <c r="C219" t="s">
        <v>152</v>
      </c>
      <c r="D219" s="4">
        <v>31222</v>
      </c>
      <c r="E219" t="s">
        <v>173</v>
      </c>
      <c r="F219">
        <v>0</v>
      </c>
      <c r="G219" t="s">
        <v>57</v>
      </c>
      <c r="H219">
        <v>1</v>
      </c>
      <c r="I219">
        <v>68.599999999999994</v>
      </c>
      <c r="J219">
        <v>31.4</v>
      </c>
      <c r="K219">
        <v>15</v>
      </c>
      <c r="L219">
        <v>5</v>
      </c>
      <c r="M219">
        <v>4</v>
      </c>
      <c r="N219">
        <v>1</v>
      </c>
      <c r="O219">
        <v>5</v>
      </c>
      <c r="P219">
        <v>1</v>
      </c>
      <c r="Q219">
        <v>6</v>
      </c>
      <c r="R219">
        <v>3</v>
      </c>
      <c r="S219">
        <v>84.4</v>
      </c>
      <c r="T219">
        <v>67.7</v>
      </c>
      <c r="U219">
        <v>0</v>
      </c>
      <c r="V219">
        <v>1</v>
      </c>
      <c r="W219">
        <v>68.8</v>
      </c>
      <c r="X219">
        <v>44.4</v>
      </c>
      <c r="Y219">
        <v>44.2</v>
      </c>
      <c r="Z219">
        <v>55.8</v>
      </c>
      <c r="AA219" s="17">
        <f t="shared" si="13"/>
        <v>28222</v>
      </c>
      <c r="AB219">
        <f t="shared" si="14"/>
        <v>29050</v>
      </c>
      <c r="AC219" s="18">
        <f t="shared" si="15"/>
        <v>97</v>
      </c>
      <c r="AD219" s="22">
        <f t="shared" si="16"/>
        <v>97</v>
      </c>
    </row>
    <row r="220" spans="1:30" x14ac:dyDescent="0.25">
      <c r="A220" t="s">
        <v>233</v>
      </c>
      <c r="B220" s="20">
        <v>44975</v>
      </c>
      <c r="C220" t="s">
        <v>180</v>
      </c>
      <c r="D220" s="4">
        <v>31619</v>
      </c>
      <c r="E220" t="s">
        <v>126</v>
      </c>
      <c r="F220">
        <v>0</v>
      </c>
      <c r="G220" t="s">
        <v>44</v>
      </c>
      <c r="H220">
        <v>1</v>
      </c>
      <c r="I220">
        <v>65.3</v>
      </c>
      <c r="J220">
        <v>34.700000000000003</v>
      </c>
      <c r="K220">
        <v>21</v>
      </c>
      <c r="L220">
        <v>5</v>
      </c>
      <c r="M220">
        <v>7</v>
      </c>
      <c r="N220">
        <v>2</v>
      </c>
      <c r="O220">
        <v>10</v>
      </c>
      <c r="P220">
        <v>0</v>
      </c>
      <c r="Q220">
        <v>4</v>
      </c>
      <c r="R220">
        <v>3</v>
      </c>
      <c r="S220">
        <v>87.7</v>
      </c>
      <c r="T220">
        <v>73.099999999999994</v>
      </c>
      <c r="U220">
        <v>5</v>
      </c>
      <c r="V220">
        <v>0</v>
      </c>
      <c r="W220">
        <v>40</v>
      </c>
      <c r="X220">
        <v>38.5</v>
      </c>
      <c r="Y220">
        <v>59.3</v>
      </c>
      <c r="Z220">
        <v>40.700000000000003</v>
      </c>
      <c r="AA220" s="17">
        <f t="shared" si="13"/>
        <v>28619</v>
      </c>
      <c r="AB220">
        <f t="shared" si="14"/>
        <v>28876</v>
      </c>
      <c r="AC220" s="18">
        <f t="shared" si="15"/>
        <v>99</v>
      </c>
      <c r="AD220" s="22">
        <f t="shared" si="16"/>
        <v>99</v>
      </c>
    </row>
    <row r="221" spans="1:30" x14ac:dyDescent="0.25">
      <c r="A221" t="s">
        <v>233</v>
      </c>
      <c r="B221" s="20">
        <v>44975</v>
      </c>
      <c r="C221" t="s">
        <v>142</v>
      </c>
      <c r="D221" s="4">
        <v>40152</v>
      </c>
      <c r="E221" t="s">
        <v>21</v>
      </c>
      <c r="F221">
        <v>0</v>
      </c>
      <c r="G221" t="s">
        <v>28</v>
      </c>
      <c r="H221">
        <v>1</v>
      </c>
      <c r="I221">
        <v>61.3</v>
      </c>
      <c r="J221">
        <v>38.700000000000003</v>
      </c>
      <c r="K221">
        <v>17</v>
      </c>
      <c r="L221">
        <v>8</v>
      </c>
      <c r="M221">
        <v>5</v>
      </c>
      <c r="N221">
        <v>5</v>
      </c>
      <c r="O221">
        <v>5</v>
      </c>
      <c r="P221">
        <v>3</v>
      </c>
      <c r="Q221">
        <v>7</v>
      </c>
      <c r="R221">
        <v>0</v>
      </c>
      <c r="S221">
        <v>85.9</v>
      </c>
      <c r="T221">
        <v>75.3</v>
      </c>
      <c r="U221">
        <v>2</v>
      </c>
      <c r="V221">
        <v>0</v>
      </c>
      <c r="W221">
        <v>76.5</v>
      </c>
      <c r="X221">
        <v>71</v>
      </c>
      <c r="Y221">
        <v>52</v>
      </c>
      <c r="Z221">
        <v>48</v>
      </c>
      <c r="AA221" s="17">
        <f t="shared" si="13"/>
        <v>37152</v>
      </c>
      <c r="AB221">
        <f t="shared" si="14"/>
        <v>37343</v>
      </c>
      <c r="AC221" s="18">
        <f t="shared" si="15"/>
        <v>99</v>
      </c>
      <c r="AD221" s="22">
        <f t="shared" si="16"/>
        <v>99</v>
      </c>
    </row>
    <row r="222" spans="1:30" x14ac:dyDescent="0.25">
      <c r="A222" t="s">
        <v>233</v>
      </c>
      <c r="B222" s="20">
        <v>44975</v>
      </c>
      <c r="C222" t="s">
        <v>144</v>
      </c>
      <c r="D222" s="4">
        <v>39232</v>
      </c>
      <c r="E222" t="s">
        <v>23</v>
      </c>
      <c r="F222">
        <v>1</v>
      </c>
      <c r="G222" t="s">
        <v>27</v>
      </c>
      <c r="H222">
        <v>0</v>
      </c>
      <c r="I222">
        <v>50</v>
      </c>
      <c r="J222">
        <v>50</v>
      </c>
      <c r="K222">
        <v>15</v>
      </c>
      <c r="L222">
        <v>8</v>
      </c>
      <c r="M222">
        <v>6</v>
      </c>
      <c r="N222">
        <v>0</v>
      </c>
      <c r="O222">
        <v>7</v>
      </c>
      <c r="P222">
        <v>4</v>
      </c>
      <c r="Q222">
        <v>2</v>
      </c>
      <c r="R222">
        <v>4</v>
      </c>
      <c r="S222">
        <v>73.400000000000006</v>
      </c>
      <c r="T222">
        <v>69</v>
      </c>
      <c r="U222">
        <v>2</v>
      </c>
      <c r="V222">
        <v>1</v>
      </c>
      <c r="W222">
        <v>56.5</v>
      </c>
      <c r="X222">
        <v>58.3</v>
      </c>
      <c r="Y222">
        <v>47.4</v>
      </c>
      <c r="Z222">
        <v>52.6</v>
      </c>
      <c r="AA222" s="17">
        <f t="shared" si="13"/>
        <v>36232</v>
      </c>
      <c r="AB222">
        <f t="shared" si="14"/>
        <v>36572</v>
      </c>
      <c r="AC222" s="18">
        <f t="shared" si="15"/>
        <v>99</v>
      </c>
      <c r="AD222" s="22">
        <f t="shared" si="16"/>
        <v>99</v>
      </c>
    </row>
    <row r="223" spans="1:30" x14ac:dyDescent="0.25">
      <c r="A223" t="s">
        <v>233</v>
      </c>
      <c r="B223" s="20">
        <v>44975</v>
      </c>
      <c r="C223" t="s">
        <v>138</v>
      </c>
      <c r="D223" s="4">
        <v>42066</v>
      </c>
      <c r="E223" t="s">
        <v>12</v>
      </c>
      <c r="F223">
        <v>2</v>
      </c>
      <c r="G223" t="s">
        <v>20</v>
      </c>
      <c r="H223">
        <v>4</v>
      </c>
      <c r="I223">
        <v>33.4</v>
      </c>
      <c r="J223">
        <v>66.599999999999994</v>
      </c>
      <c r="K223">
        <v>7</v>
      </c>
      <c r="L223">
        <v>20</v>
      </c>
      <c r="M223">
        <v>5</v>
      </c>
      <c r="N223">
        <v>5</v>
      </c>
      <c r="O223">
        <v>1</v>
      </c>
      <c r="P223">
        <v>8</v>
      </c>
      <c r="Q223">
        <v>1</v>
      </c>
      <c r="R223">
        <v>7</v>
      </c>
      <c r="S223">
        <v>76.8</v>
      </c>
      <c r="T223">
        <v>85.6</v>
      </c>
      <c r="U223">
        <v>0</v>
      </c>
      <c r="V223">
        <v>5</v>
      </c>
      <c r="W223">
        <v>72</v>
      </c>
      <c r="X223">
        <v>55.6</v>
      </c>
      <c r="Y223">
        <v>48</v>
      </c>
      <c r="Z223">
        <v>52</v>
      </c>
      <c r="AA223" s="17">
        <f t="shared" si="13"/>
        <v>39066</v>
      </c>
      <c r="AB223">
        <f t="shared" si="14"/>
        <v>39000</v>
      </c>
      <c r="AC223" s="18">
        <f t="shared" si="15"/>
        <v>100</v>
      </c>
      <c r="AD223" s="22">
        <f t="shared" si="16"/>
        <v>100</v>
      </c>
    </row>
    <row r="224" spans="1:30" x14ac:dyDescent="0.25">
      <c r="A224" t="s">
        <v>233</v>
      </c>
      <c r="B224" s="20">
        <v>44975</v>
      </c>
      <c r="C224" t="s">
        <v>182</v>
      </c>
      <c r="D224" s="4">
        <v>52758</v>
      </c>
      <c r="E224" t="s">
        <v>128</v>
      </c>
      <c r="F224">
        <v>0</v>
      </c>
      <c r="G224" t="s">
        <v>17</v>
      </c>
      <c r="H224">
        <v>2</v>
      </c>
      <c r="I224">
        <v>37.4</v>
      </c>
      <c r="J224">
        <v>62.6</v>
      </c>
      <c r="K224">
        <v>14</v>
      </c>
      <c r="L224">
        <v>13</v>
      </c>
      <c r="M224">
        <v>4</v>
      </c>
      <c r="N224">
        <v>7</v>
      </c>
      <c r="O224">
        <v>7</v>
      </c>
      <c r="P224">
        <v>4</v>
      </c>
      <c r="Q224">
        <v>3</v>
      </c>
      <c r="R224">
        <v>2</v>
      </c>
      <c r="S224">
        <v>82</v>
      </c>
      <c r="T224">
        <v>88.1</v>
      </c>
      <c r="U224">
        <v>3</v>
      </c>
      <c r="V224">
        <v>5</v>
      </c>
      <c r="W224">
        <v>90</v>
      </c>
      <c r="X224">
        <v>50</v>
      </c>
      <c r="Y224">
        <v>68.8</v>
      </c>
      <c r="Z224">
        <v>31.3</v>
      </c>
      <c r="AA224" s="17">
        <f t="shared" si="13"/>
        <v>49758</v>
      </c>
      <c r="AB224">
        <f t="shared" si="14"/>
        <v>49350</v>
      </c>
      <c r="AC224" s="18">
        <f t="shared" si="15"/>
        <v>100</v>
      </c>
      <c r="AD224" s="22">
        <f t="shared" si="16"/>
        <v>100</v>
      </c>
    </row>
    <row r="225" spans="1:30" x14ac:dyDescent="0.25">
      <c r="A225" t="s">
        <v>232</v>
      </c>
      <c r="B225" s="20">
        <v>44976</v>
      </c>
      <c r="C225" t="s">
        <v>187</v>
      </c>
      <c r="D225" s="4">
        <v>61476</v>
      </c>
      <c r="E225" t="s">
        <v>129</v>
      </c>
      <c r="F225">
        <v>2</v>
      </c>
      <c r="G225" t="s">
        <v>130</v>
      </c>
      <c r="H225">
        <v>0</v>
      </c>
      <c r="I225">
        <v>57</v>
      </c>
      <c r="J225">
        <v>43</v>
      </c>
      <c r="K225">
        <v>16</v>
      </c>
      <c r="L225">
        <v>6</v>
      </c>
      <c r="M225">
        <v>6</v>
      </c>
      <c r="N225">
        <v>1</v>
      </c>
      <c r="O225">
        <v>4</v>
      </c>
      <c r="P225">
        <v>4</v>
      </c>
      <c r="Q225">
        <v>6</v>
      </c>
      <c r="R225">
        <v>1</v>
      </c>
      <c r="S225">
        <v>84.6</v>
      </c>
      <c r="T225">
        <v>74.900000000000006</v>
      </c>
      <c r="U225">
        <v>2</v>
      </c>
      <c r="V225">
        <v>0</v>
      </c>
      <c r="W225">
        <v>68.400000000000006</v>
      </c>
      <c r="X225">
        <v>61.1</v>
      </c>
      <c r="Y225">
        <v>48.7</v>
      </c>
      <c r="Z225">
        <v>51.3</v>
      </c>
      <c r="AA225" s="17">
        <f t="shared" si="13"/>
        <v>58476</v>
      </c>
      <c r="AB225">
        <f t="shared" si="14"/>
        <v>59850</v>
      </c>
      <c r="AC225" s="18">
        <f t="shared" si="15"/>
        <v>97</v>
      </c>
      <c r="AD225" s="22">
        <f t="shared" si="16"/>
        <v>97</v>
      </c>
    </row>
    <row r="226" spans="1:30" x14ac:dyDescent="0.25">
      <c r="A226" t="s">
        <v>232</v>
      </c>
      <c r="B226" s="20">
        <v>44976</v>
      </c>
      <c r="C226" t="s">
        <v>148</v>
      </c>
      <c r="D226" s="4">
        <v>73578</v>
      </c>
      <c r="E226" t="s">
        <v>127</v>
      </c>
      <c r="F226">
        <v>3</v>
      </c>
      <c r="G226" t="s">
        <v>36</v>
      </c>
      <c r="H226">
        <v>0</v>
      </c>
      <c r="I226">
        <v>56.9</v>
      </c>
      <c r="J226">
        <v>43.1</v>
      </c>
      <c r="K226">
        <v>26</v>
      </c>
      <c r="L226">
        <v>19</v>
      </c>
      <c r="M226">
        <v>8</v>
      </c>
      <c r="N226">
        <v>3</v>
      </c>
      <c r="O226">
        <v>9</v>
      </c>
      <c r="P226">
        <v>9</v>
      </c>
      <c r="Q226">
        <v>9</v>
      </c>
      <c r="R226">
        <v>7</v>
      </c>
      <c r="S226">
        <v>84.6</v>
      </c>
      <c r="T226">
        <v>81.099999999999994</v>
      </c>
      <c r="U226">
        <v>6</v>
      </c>
      <c r="V226">
        <v>2</v>
      </c>
      <c r="W226">
        <v>69.599999999999994</v>
      </c>
      <c r="X226">
        <v>53.8</v>
      </c>
      <c r="Y226">
        <v>69.599999999999994</v>
      </c>
      <c r="Z226">
        <v>30.4</v>
      </c>
      <c r="AA226" s="17">
        <f t="shared" si="13"/>
        <v>70578</v>
      </c>
      <c r="AB226">
        <f t="shared" si="14"/>
        <v>71310</v>
      </c>
      <c r="AC226" s="18">
        <f t="shared" si="15"/>
        <v>98</v>
      </c>
      <c r="AD226" s="22">
        <f t="shared" si="16"/>
        <v>98</v>
      </c>
    </row>
    <row r="227" spans="1:30" x14ac:dyDescent="0.25">
      <c r="A227" t="s">
        <v>231</v>
      </c>
      <c r="B227" s="20">
        <v>44981</v>
      </c>
      <c r="C227" t="s">
        <v>145</v>
      </c>
      <c r="D227" s="4">
        <v>24399</v>
      </c>
      <c r="E227" t="s">
        <v>44</v>
      </c>
      <c r="F227">
        <v>1</v>
      </c>
      <c r="G227" t="s">
        <v>173</v>
      </c>
      <c r="H227">
        <v>1</v>
      </c>
      <c r="I227">
        <v>50.5</v>
      </c>
      <c r="J227">
        <v>49.5</v>
      </c>
      <c r="K227">
        <v>10</v>
      </c>
      <c r="L227">
        <v>8</v>
      </c>
      <c r="M227">
        <v>5</v>
      </c>
      <c r="N227">
        <v>2</v>
      </c>
      <c r="O227">
        <v>2</v>
      </c>
      <c r="P227">
        <v>5</v>
      </c>
      <c r="Q227">
        <v>3</v>
      </c>
      <c r="R227">
        <v>1</v>
      </c>
      <c r="S227">
        <v>81.3</v>
      </c>
      <c r="T227">
        <v>76.2</v>
      </c>
      <c r="U227">
        <v>2</v>
      </c>
      <c r="V227">
        <v>1</v>
      </c>
      <c r="W227">
        <v>55</v>
      </c>
      <c r="X227">
        <v>73.7</v>
      </c>
      <c r="Y227">
        <v>36.700000000000003</v>
      </c>
      <c r="Z227">
        <v>63.3</v>
      </c>
      <c r="AA227" s="17">
        <f t="shared" si="13"/>
        <v>21399</v>
      </c>
      <c r="AB227">
        <f t="shared" si="14"/>
        <v>25700</v>
      </c>
      <c r="AC227" s="18">
        <f t="shared" si="15"/>
        <v>83</v>
      </c>
      <c r="AD227" s="22">
        <f t="shared" si="16"/>
        <v>83</v>
      </c>
    </row>
    <row r="228" spans="1:30" x14ac:dyDescent="0.25">
      <c r="A228" t="s">
        <v>230</v>
      </c>
      <c r="B228" s="20">
        <v>44982</v>
      </c>
      <c r="C228" t="s">
        <v>188</v>
      </c>
      <c r="D228" s="4">
        <v>10481</v>
      </c>
      <c r="E228" t="s">
        <v>57</v>
      </c>
      <c r="F228">
        <v>1</v>
      </c>
      <c r="G228" t="s">
        <v>19</v>
      </c>
      <c r="H228">
        <v>4</v>
      </c>
      <c r="I228">
        <v>34</v>
      </c>
      <c r="J228">
        <v>66</v>
      </c>
      <c r="K228">
        <v>13</v>
      </c>
      <c r="L228">
        <v>20</v>
      </c>
      <c r="M228">
        <v>2</v>
      </c>
      <c r="N228">
        <v>5</v>
      </c>
      <c r="O228">
        <v>5</v>
      </c>
      <c r="P228">
        <v>8</v>
      </c>
      <c r="Q228">
        <v>6</v>
      </c>
      <c r="R228">
        <v>7</v>
      </c>
      <c r="S228">
        <v>83</v>
      </c>
      <c r="T228">
        <v>90.1</v>
      </c>
      <c r="U228">
        <v>0</v>
      </c>
      <c r="V228">
        <v>1</v>
      </c>
      <c r="W228">
        <v>53.3</v>
      </c>
      <c r="X228">
        <v>65.400000000000006</v>
      </c>
      <c r="Y228">
        <v>52.6</v>
      </c>
      <c r="Z228">
        <v>47.4</v>
      </c>
      <c r="AA228" s="17">
        <f t="shared" si="13"/>
        <v>7481</v>
      </c>
      <c r="AB228">
        <f t="shared" si="14"/>
        <v>9879</v>
      </c>
      <c r="AC228" s="18">
        <f t="shared" si="15"/>
        <v>75</v>
      </c>
      <c r="AD228" s="22">
        <f t="shared" si="16"/>
        <v>75</v>
      </c>
    </row>
    <row r="229" spans="1:30" x14ac:dyDescent="0.25">
      <c r="A229" t="s">
        <v>230</v>
      </c>
      <c r="B229" s="20">
        <v>44982</v>
      </c>
      <c r="C229" t="s">
        <v>184</v>
      </c>
      <c r="D229" s="4">
        <v>62469</v>
      </c>
      <c r="E229" t="s">
        <v>130</v>
      </c>
      <c r="F229">
        <v>4</v>
      </c>
      <c r="G229" t="s">
        <v>123</v>
      </c>
      <c r="H229">
        <v>0</v>
      </c>
      <c r="I229">
        <v>49.1</v>
      </c>
      <c r="J229">
        <v>50.9</v>
      </c>
      <c r="K229">
        <v>18</v>
      </c>
      <c r="L229">
        <v>8</v>
      </c>
      <c r="M229">
        <v>5</v>
      </c>
      <c r="N229">
        <v>3</v>
      </c>
      <c r="O229">
        <v>8</v>
      </c>
      <c r="P229">
        <v>3</v>
      </c>
      <c r="Q229">
        <v>5</v>
      </c>
      <c r="R229">
        <v>2</v>
      </c>
      <c r="S229">
        <v>78</v>
      </c>
      <c r="T229">
        <v>78.2</v>
      </c>
      <c r="U229">
        <v>4</v>
      </c>
      <c r="V229">
        <v>0</v>
      </c>
      <c r="W229">
        <v>69.2</v>
      </c>
      <c r="X229">
        <v>60</v>
      </c>
      <c r="Y229">
        <v>52.1</v>
      </c>
      <c r="Z229">
        <v>47.9</v>
      </c>
      <c r="AA229" s="17">
        <f t="shared" si="13"/>
        <v>59469</v>
      </c>
      <c r="AB229">
        <f t="shared" si="14"/>
        <v>65013</v>
      </c>
      <c r="AC229" s="18">
        <f t="shared" si="15"/>
        <v>91</v>
      </c>
      <c r="AD229" s="22">
        <f t="shared" si="16"/>
        <v>91</v>
      </c>
    </row>
    <row r="230" spans="1:30" x14ac:dyDescent="0.25">
      <c r="A230" t="s">
        <v>230</v>
      </c>
      <c r="B230" s="20">
        <v>44982</v>
      </c>
      <c r="C230" t="s">
        <v>175</v>
      </c>
      <c r="D230" s="4">
        <v>36641</v>
      </c>
      <c r="E230" t="s">
        <v>27</v>
      </c>
      <c r="F230">
        <v>1</v>
      </c>
      <c r="G230" t="s">
        <v>28</v>
      </c>
      <c r="H230">
        <v>0</v>
      </c>
      <c r="I230">
        <v>60.6</v>
      </c>
      <c r="J230">
        <v>39.4</v>
      </c>
      <c r="K230">
        <v>14</v>
      </c>
      <c r="L230">
        <v>8</v>
      </c>
      <c r="M230">
        <v>4</v>
      </c>
      <c r="N230">
        <v>2</v>
      </c>
      <c r="O230">
        <v>6</v>
      </c>
      <c r="P230">
        <v>3</v>
      </c>
      <c r="Q230">
        <v>4</v>
      </c>
      <c r="R230">
        <v>3</v>
      </c>
      <c r="S230">
        <v>84.6</v>
      </c>
      <c r="T230">
        <v>77.7</v>
      </c>
      <c r="U230">
        <v>0</v>
      </c>
      <c r="V230">
        <v>0</v>
      </c>
      <c r="W230">
        <v>65.2</v>
      </c>
      <c r="X230">
        <v>55.6</v>
      </c>
      <c r="Y230">
        <v>52.2</v>
      </c>
      <c r="Z230">
        <v>47.8</v>
      </c>
      <c r="AA230" s="17">
        <f t="shared" si="13"/>
        <v>33641</v>
      </c>
      <c r="AB230">
        <f t="shared" si="14"/>
        <v>35220</v>
      </c>
      <c r="AC230" s="18">
        <f t="shared" si="15"/>
        <v>95</v>
      </c>
      <c r="AD230" s="22">
        <f t="shared" si="16"/>
        <v>95</v>
      </c>
    </row>
    <row r="231" spans="1:30" x14ac:dyDescent="0.25">
      <c r="A231" t="s">
        <v>230</v>
      </c>
      <c r="B231" s="20">
        <v>44982</v>
      </c>
      <c r="C231" t="s">
        <v>143</v>
      </c>
      <c r="D231" s="4">
        <v>25842</v>
      </c>
      <c r="E231" t="s">
        <v>29</v>
      </c>
      <c r="F231">
        <v>0</v>
      </c>
      <c r="G231" t="s">
        <v>17</v>
      </c>
      <c r="H231">
        <v>0</v>
      </c>
      <c r="I231">
        <v>36.200000000000003</v>
      </c>
      <c r="J231">
        <v>63.8</v>
      </c>
      <c r="K231">
        <v>6</v>
      </c>
      <c r="L231">
        <v>12</v>
      </c>
      <c r="M231">
        <v>0</v>
      </c>
      <c r="N231">
        <v>4</v>
      </c>
      <c r="O231">
        <v>4</v>
      </c>
      <c r="P231">
        <v>5</v>
      </c>
      <c r="Q231">
        <v>2</v>
      </c>
      <c r="R231">
        <v>3</v>
      </c>
      <c r="S231">
        <v>74.5</v>
      </c>
      <c r="T231">
        <v>84.5</v>
      </c>
      <c r="U231">
        <v>2</v>
      </c>
      <c r="V231">
        <v>2</v>
      </c>
      <c r="W231">
        <v>68.8</v>
      </c>
      <c r="X231">
        <v>64.3</v>
      </c>
      <c r="Y231">
        <v>50</v>
      </c>
      <c r="Z231">
        <v>50</v>
      </c>
      <c r="AA231" s="17">
        <f t="shared" si="13"/>
        <v>22842</v>
      </c>
      <c r="AB231">
        <f t="shared" si="14"/>
        <v>23486</v>
      </c>
      <c r="AC231" s="18">
        <f t="shared" si="15"/>
        <v>97</v>
      </c>
      <c r="AD231" s="22">
        <f t="shared" si="16"/>
        <v>97</v>
      </c>
    </row>
    <row r="232" spans="1:30" x14ac:dyDescent="0.25">
      <c r="A232" t="s">
        <v>230</v>
      </c>
      <c r="B232" s="20">
        <v>44982</v>
      </c>
      <c r="C232" t="s">
        <v>144</v>
      </c>
      <c r="D232" s="4">
        <v>39309</v>
      </c>
      <c r="E232" t="s">
        <v>23</v>
      </c>
      <c r="F232">
        <v>0</v>
      </c>
      <c r="G232" t="s">
        <v>12</v>
      </c>
      <c r="H232">
        <v>2</v>
      </c>
      <c r="I232">
        <v>46.5</v>
      </c>
      <c r="J232">
        <v>53.5</v>
      </c>
      <c r="K232">
        <v>15</v>
      </c>
      <c r="L232">
        <v>9</v>
      </c>
      <c r="M232">
        <v>5</v>
      </c>
      <c r="N232">
        <v>5</v>
      </c>
      <c r="O232">
        <v>7</v>
      </c>
      <c r="P232">
        <v>4</v>
      </c>
      <c r="Q232">
        <v>3</v>
      </c>
      <c r="R232">
        <v>0</v>
      </c>
      <c r="S232">
        <v>78.5</v>
      </c>
      <c r="T232">
        <v>79.2</v>
      </c>
      <c r="U232">
        <v>0</v>
      </c>
      <c r="V232">
        <v>3</v>
      </c>
      <c r="W232">
        <v>50</v>
      </c>
      <c r="X232">
        <v>50</v>
      </c>
      <c r="Y232">
        <v>48.6</v>
      </c>
      <c r="Z232">
        <v>51.4</v>
      </c>
      <c r="AA232" s="17">
        <f t="shared" si="13"/>
        <v>36309</v>
      </c>
      <c r="AB232">
        <f t="shared" si="14"/>
        <v>36572</v>
      </c>
      <c r="AC232" s="18">
        <f t="shared" si="15"/>
        <v>99</v>
      </c>
      <c r="AD232" s="22">
        <f t="shared" si="16"/>
        <v>99</v>
      </c>
    </row>
    <row r="233" spans="1:30" x14ac:dyDescent="0.25">
      <c r="A233" t="s">
        <v>230</v>
      </c>
      <c r="B233" s="20">
        <v>44982</v>
      </c>
      <c r="C233" t="s">
        <v>176</v>
      </c>
      <c r="D233" s="4">
        <v>32227</v>
      </c>
      <c r="E233" t="s">
        <v>36</v>
      </c>
      <c r="F233">
        <v>0</v>
      </c>
      <c r="G233" t="s">
        <v>20</v>
      </c>
      <c r="H233">
        <v>1</v>
      </c>
      <c r="I233">
        <v>34.1</v>
      </c>
      <c r="J233">
        <v>65.900000000000006</v>
      </c>
      <c r="K233">
        <v>1</v>
      </c>
      <c r="L233">
        <v>10</v>
      </c>
      <c r="M233">
        <v>0</v>
      </c>
      <c r="N233">
        <v>2</v>
      </c>
      <c r="O233">
        <v>1</v>
      </c>
      <c r="P233">
        <v>3</v>
      </c>
      <c r="Q233">
        <v>0</v>
      </c>
      <c r="R233">
        <v>5</v>
      </c>
      <c r="S233">
        <v>68.900000000000006</v>
      </c>
      <c r="T233">
        <v>82.4</v>
      </c>
      <c r="U233">
        <v>0</v>
      </c>
      <c r="V233">
        <v>1</v>
      </c>
      <c r="W233">
        <v>66.7</v>
      </c>
      <c r="X233">
        <v>54.5</v>
      </c>
      <c r="Y233">
        <v>47.1</v>
      </c>
      <c r="Z233">
        <v>52.9</v>
      </c>
      <c r="AA233" s="17">
        <f t="shared" si="13"/>
        <v>29227</v>
      </c>
      <c r="AB233">
        <f t="shared" si="14"/>
        <v>29261</v>
      </c>
      <c r="AC233" s="18">
        <f t="shared" si="15"/>
        <v>99</v>
      </c>
      <c r="AD233" s="22">
        <f t="shared" si="16"/>
        <v>99</v>
      </c>
    </row>
    <row r="234" spans="1:30" x14ac:dyDescent="0.25">
      <c r="A234" t="s">
        <v>229</v>
      </c>
      <c r="B234" s="20">
        <v>44983</v>
      </c>
      <c r="C234" t="s">
        <v>187</v>
      </c>
      <c r="D234" s="4">
        <v>61613</v>
      </c>
      <c r="E234" t="s">
        <v>129</v>
      </c>
      <c r="F234">
        <v>2</v>
      </c>
      <c r="G234" t="s">
        <v>21</v>
      </c>
      <c r="H234">
        <v>0</v>
      </c>
      <c r="I234">
        <v>41.2</v>
      </c>
      <c r="J234">
        <v>58.8</v>
      </c>
      <c r="K234">
        <v>8</v>
      </c>
      <c r="L234">
        <v>10</v>
      </c>
      <c r="M234">
        <v>3</v>
      </c>
      <c r="N234">
        <v>2</v>
      </c>
      <c r="O234">
        <v>4</v>
      </c>
      <c r="P234">
        <v>5</v>
      </c>
      <c r="Q234">
        <v>1</v>
      </c>
      <c r="R234">
        <v>3</v>
      </c>
      <c r="S234">
        <v>82.2</v>
      </c>
      <c r="T234">
        <v>89.3</v>
      </c>
      <c r="U234">
        <v>1</v>
      </c>
      <c r="V234">
        <v>0</v>
      </c>
      <c r="W234">
        <v>59.3</v>
      </c>
      <c r="X234">
        <v>78.900000000000006</v>
      </c>
      <c r="Y234">
        <v>60.7</v>
      </c>
      <c r="Z234">
        <v>39.299999999999997</v>
      </c>
      <c r="AA234" s="17">
        <f t="shared" si="13"/>
        <v>58613</v>
      </c>
      <c r="AB234">
        <f t="shared" si="14"/>
        <v>59850</v>
      </c>
      <c r="AC234" s="18">
        <f t="shared" si="15"/>
        <v>97</v>
      </c>
      <c r="AD234" s="22">
        <f t="shared" si="16"/>
        <v>97</v>
      </c>
    </row>
    <row r="235" spans="1:30" x14ac:dyDescent="0.25">
      <c r="A235" t="s">
        <v>228</v>
      </c>
      <c r="B235" s="20">
        <v>44986</v>
      </c>
      <c r="C235" t="s">
        <v>146</v>
      </c>
      <c r="D235" s="4">
        <v>53259</v>
      </c>
      <c r="E235" t="s">
        <v>17</v>
      </c>
      <c r="F235">
        <v>2</v>
      </c>
      <c r="G235" t="s">
        <v>173</v>
      </c>
      <c r="H235">
        <v>0</v>
      </c>
      <c r="I235">
        <v>56.8</v>
      </c>
      <c r="J235">
        <v>43.2</v>
      </c>
      <c r="K235">
        <v>15</v>
      </c>
      <c r="L235">
        <v>4</v>
      </c>
      <c r="M235">
        <v>6</v>
      </c>
      <c r="N235">
        <v>1</v>
      </c>
      <c r="O235">
        <v>6</v>
      </c>
      <c r="P235">
        <v>2</v>
      </c>
      <c r="Q235">
        <v>3</v>
      </c>
      <c r="R235">
        <v>1</v>
      </c>
      <c r="S235">
        <v>83.1</v>
      </c>
      <c r="T235">
        <v>80.099999999999994</v>
      </c>
      <c r="U235">
        <v>3</v>
      </c>
      <c r="V235">
        <v>1</v>
      </c>
      <c r="W235">
        <v>83.3</v>
      </c>
      <c r="X235">
        <v>57.1</v>
      </c>
      <c r="Y235">
        <v>42.9</v>
      </c>
      <c r="Z235">
        <v>57.1</v>
      </c>
      <c r="AA235" s="17">
        <f t="shared" si="13"/>
        <v>50259</v>
      </c>
      <c r="AB235">
        <f t="shared" si="14"/>
        <v>58000</v>
      </c>
      <c r="AC235" s="18">
        <f t="shared" si="15"/>
        <v>86</v>
      </c>
      <c r="AD235" s="22">
        <f t="shared" si="16"/>
        <v>86</v>
      </c>
    </row>
    <row r="236" spans="1:30" x14ac:dyDescent="0.25">
      <c r="A236" t="s">
        <v>228</v>
      </c>
      <c r="B236" s="20">
        <v>44986</v>
      </c>
      <c r="C236" t="s">
        <v>172</v>
      </c>
      <c r="D236" s="4">
        <v>60213</v>
      </c>
      <c r="E236" t="s">
        <v>20</v>
      </c>
      <c r="F236">
        <v>4</v>
      </c>
      <c r="G236" t="s">
        <v>23</v>
      </c>
      <c r="H236">
        <v>0</v>
      </c>
      <c r="I236">
        <v>73.099999999999994</v>
      </c>
      <c r="J236">
        <v>26.9</v>
      </c>
      <c r="K236">
        <v>15</v>
      </c>
      <c r="L236">
        <v>8</v>
      </c>
      <c r="M236">
        <v>5</v>
      </c>
      <c r="N236">
        <v>5</v>
      </c>
      <c r="O236">
        <v>5</v>
      </c>
      <c r="P236">
        <v>2</v>
      </c>
      <c r="Q236">
        <v>5</v>
      </c>
      <c r="R236">
        <v>1</v>
      </c>
      <c r="S236">
        <v>87.6</v>
      </c>
      <c r="T236">
        <v>67.5</v>
      </c>
      <c r="U236">
        <v>4</v>
      </c>
      <c r="V236">
        <v>1</v>
      </c>
      <c r="W236">
        <v>100</v>
      </c>
      <c r="X236">
        <v>66.7</v>
      </c>
      <c r="Y236">
        <v>42.3</v>
      </c>
      <c r="Z236">
        <v>57.7</v>
      </c>
      <c r="AA236" s="17">
        <f t="shared" si="13"/>
        <v>57213</v>
      </c>
      <c r="AB236">
        <f t="shared" si="14"/>
        <v>57704</v>
      </c>
      <c r="AC236" s="18">
        <f t="shared" si="15"/>
        <v>99</v>
      </c>
      <c r="AD236" s="22">
        <f t="shared" si="16"/>
        <v>99</v>
      </c>
    </row>
    <row r="237" spans="1:30" x14ac:dyDescent="0.25">
      <c r="A237" t="s">
        <v>227</v>
      </c>
      <c r="B237" s="20">
        <v>44989</v>
      </c>
      <c r="C237" t="s">
        <v>177</v>
      </c>
      <c r="D237" s="4">
        <v>30139</v>
      </c>
      <c r="E237" t="s">
        <v>28</v>
      </c>
      <c r="F237">
        <v>1</v>
      </c>
      <c r="G237" t="s">
        <v>36</v>
      </c>
      <c r="H237">
        <v>0</v>
      </c>
      <c r="I237">
        <v>34.9</v>
      </c>
      <c r="J237">
        <v>65.099999999999994</v>
      </c>
      <c r="K237">
        <v>11</v>
      </c>
      <c r="L237">
        <v>11</v>
      </c>
      <c r="M237">
        <v>5</v>
      </c>
      <c r="N237">
        <v>0</v>
      </c>
      <c r="O237">
        <v>2</v>
      </c>
      <c r="P237">
        <v>7</v>
      </c>
      <c r="Q237">
        <v>4</v>
      </c>
      <c r="R237">
        <v>4</v>
      </c>
      <c r="S237">
        <v>68.8</v>
      </c>
      <c r="T237">
        <v>79</v>
      </c>
      <c r="U237">
        <v>0</v>
      </c>
      <c r="V237">
        <v>3</v>
      </c>
      <c r="W237">
        <v>42.9</v>
      </c>
      <c r="X237">
        <v>63.6</v>
      </c>
      <c r="Y237">
        <v>31.6</v>
      </c>
      <c r="Z237">
        <v>68.400000000000006</v>
      </c>
      <c r="AA237" s="17">
        <f t="shared" si="13"/>
        <v>27139</v>
      </c>
      <c r="AB237">
        <f t="shared" si="14"/>
        <v>29384</v>
      </c>
      <c r="AC237" s="18">
        <f t="shared" si="15"/>
        <v>92</v>
      </c>
      <c r="AD237" s="22">
        <f t="shared" si="16"/>
        <v>92</v>
      </c>
    </row>
    <row r="238" spans="1:30" x14ac:dyDescent="0.25">
      <c r="A238" t="s">
        <v>227</v>
      </c>
      <c r="B238" s="20">
        <v>44989</v>
      </c>
      <c r="C238" t="s">
        <v>180</v>
      </c>
      <c r="D238" s="4">
        <v>31523</v>
      </c>
      <c r="E238" t="s">
        <v>126</v>
      </c>
      <c r="F238">
        <v>4</v>
      </c>
      <c r="G238" t="s">
        <v>130</v>
      </c>
      <c r="H238">
        <v>0</v>
      </c>
      <c r="I238">
        <v>65.8</v>
      </c>
      <c r="J238">
        <v>34.200000000000003</v>
      </c>
      <c r="K238">
        <v>20</v>
      </c>
      <c r="L238">
        <v>3</v>
      </c>
      <c r="M238">
        <v>9</v>
      </c>
      <c r="N238">
        <v>2</v>
      </c>
      <c r="O238">
        <v>7</v>
      </c>
      <c r="P238">
        <v>0</v>
      </c>
      <c r="Q238">
        <v>4</v>
      </c>
      <c r="R238">
        <v>1</v>
      </c>
      <c r="S238">
        <v>90.5</v>
      </c>
      <c r="T238">
        <v>78.8</v>
      </c>
      <c r="U238">
        <v>2</v>
      </c>
      <c r="V238">
        <v>0</v>
      </c>
      <c r="W238">
        <v>50</v>
      </c>
      <c r="X238">
        <v>45.5</v>
      </c>
      <c r="Y238">
        <v>57.1</v>
      </c>
      <c r="Z238">
        <v>42.9</v>
      </c>
      <c r="AA238" s="17">
        <f t="shared" si="13"/>
        <v>28523</v>
      </c>
      <c r="AB238">
        <f t="shared" si="14"/>
        <v>28876</v>
      </c>
      <c r="AC238" s="18">
        <f t="shared" si="15"/>
        <v>98</v>
      </c>
      <c r="AD238" s="22">
        <f t="shared" si="16"/>
        <v>98</v>
      </c>
    </row>
    <row r="239" spans="1:30" x14ac:dyDescent="0.25">
      <c r="A239" t="s">
        <v>227</v>
      </c>
      <c r="B239" s="20">
        <v>44989</v>
      </c>
      <c r="C239" t="s">
        <v>142</v>
      </c>
      <c r="D239" s="4">
        <v>39905</v>
      </c>
      <c r="E239" t="s">
        <v>21</v>
      </c>
      <c r="F239">
        <v>1</v>
      </c>
      <c r="G239" t="s">
        <v>27</v>
      </c>
      <c r="H239">
        <v>0</v>
      </c>
      <c r="I239">
        <v>57.2</v>
      </c>
      <c r="J239">
        <v>42.8</v>
      </c>
      <c r="K239">
        <v>13</v>
      </c>
      <c r="L239">
        <v>11</v>
      </c>
      <c r="M239">
        <v>3</v>
      </c>
      <c r="N239">
        <v>2</v>
      </c>
      <c r="O239">
        <v>8</v>
      </c>
      <c r="P239">
        <v>6</v>
      </c>
      <c r="Q239">
        <v>2</v>
      </c>
      <c r="R239">
        <v>3</v>
      </c>
      <c r="S239">
        <v>87.6</v>
      </c>
      <c r="T239">
        <v>79.3</v>
      </c>
      <c r="U239">
        <v>3</v>
      </c>
      <c r="V239">
        <v>0</v>
      </c>
      <c r="W239">
        <v>65.400000000000006</v>
      </c>
      <c r="X239">
        <v>65.2</v>
      </c>
      <c r="Y239">
        <v>46.7</v>
      </c>
      <c r="Z239">
        <v>53.3</v>
      </c>
      <c r="AA239" s="17">
        <f t="shared" si="13"/>
        <v>36905</v>
      </c>
      <c r="AB239">
        <f t="shared" si="14"/>
        <v>37343</v>
      </c>
      <c r="AC239" s="18">
        <f t="shared" si="15"/>
        <v>98</v>
      </c>
      <c r="AD239" s="22">
        <f t="shared" si="16"/>
        <v>98</v>
      </c>
    </row>
    <row r="240" spans="1:30" x14ac:dyDescent="0.25">
      <c r="A240" t="s">
        <v>227</v>
      </c>
      <c r="B240" s="20">
        <v>44989</v>
      </c>
      <c r="C240" t="s">
        <v>152</v>
      </c>
      <c r="D240" s="4">
        <v>31585</v>
      </c>
      <c r="E240" t="s">
        <v>173</v>
      </c>
      <c r="F240">
        <v>1</v>
      </c>
      <c r="G240" t="s">
        <v>129</v>
      </c>
      <c r="H240">
        <v>0</v>
      </c>
      <c r="I240">
        <v>46.5</v>
      </c>
      <c r="J240">
        <v>53.5</v>
      </c>
      <c r="K240">
        <v>8</v>
      </c>
      <c r="L240">
        <v>21</v>
      </c>
      <c r="M240">
        <v>5</v>
      </c>
      <c r="N240">
        <v>6</v>
      </c>
      <c r="O240">
        <v>3</v>
      </c>
      <c r="P240">
        <v>6</v>
      </c>
      <c r="Q240">
        <v>0</v>
      </c>
      <c r="R240">
        <v>9</v>
      </c>
      <c r="S240">
        <v>81.5</v>
      </c>
      <c r="T240">
        <v>85.8</v>
      </c>
      <c r="U240">
        <v>2</v>
      </c>
      <c r="V240">
        <v>2</v>
      </c>
      <c r="W240">
        <v>50</v>
      </c>
      <c r="X240">
        <v>60</v>
      </c>
      <c r="Y240">
        <v>47.4</v>
      </c>
      <c r="Z240">
        <v>52.6</v>
      </c>
      <c r="AA240" s="17">
        <f t="shared" si="13"/>
        <v>28585</v>
      </c>
      <c r="AB240">
        <f t="shared" si="14"/>
        <v>29050</v>
      </c>
      <c r="AC240" s="18">
        <f t="shared" si="15"/>
        <v>98</v>
      </c>
      <c r="AD240" s="22">
        <f t="shared" si="16"/>
        <v>98</v>
      </c>
    </row>
    <row r="241" spans="1:30" x14ac:dyDescent="0.25">
      <c r="A241" t="s">
        <v>227</v>
      </c>
      <c r="B241" s="20">
        <v>44989</v>
      </c>
      <c r="C241" t="s">
        <v>172</v>
      </c>
      <c r="D241" s="4">
        <v>60222</v>
      </c>
      <c r="E241" t="s">
        <v>20</v>
      </c>
      <c r="F241">
        <v>3</v>
      </c>
      <c r="G241" t="s">
        <v>57</v>
      </c>
      <c r="H241">
        <v>2</v>
      </c>
      <c r="I241">
        <v>80.099999999999994</v>
      </c>
      <c r="J241">
        <v>19.899999999999999</v>
      </c>
      <c r="K241">
        <v>31</v>
      </c>
      <c r="L241">
        <v>4</v>
      </c>
      <c r="M241">
        <v>9</v>
      </c>
      <c r="N241">
        <v>4</v>
      </c>
      <c r="O241">
        <v>10</v>
      </c>
      <c r="P241">
        <v>0</v>
      </c>
      <c r="Q241">
        <v>12</v>
      </c>
      <c r="R241">
        <v>0</v>
      </c>
      <c r="S241">
        <v>88.6</v>
      </c>
      <c r="T241">
        <v>57.6</v>
      </c>
      <c r="U241">
        <v>1</v>
      </c>
      <c r="V241">
        <v>2</v>
      </c>
      <c r="W241">
        <v>58.8</v>
      </c>
      <c r="X241">
        <v>75</v>
      </c>
      <c r="Y241">
        <v>55.9</v>
      </c>
      <c r="Z241">
        <v>44.1</v>
      </c>
      <c r="AA241" s="17">
        <f t="shared" si="13"/>
        <v>57222</v>
      </c>
      <c r="AB241">
        <f t="shared" si="14"/>
        <v>57704</v>
      </c>
      <c r="AC241" s="18">
        <f t="shared" si="15"/>
        <v>99</v>
      </c>
      <c r="AD241" s="22">
        <f t="shared" si="16"/>
        <v>99</v>
      </c>
    </row>
    <row r="242" spans="1:30" x14ac:dyDescent="0.25">
      <c r="A242" t="s">
        <v>227</v>
      </c>
      <c r="B242" s="20">
        <v>44989</v>
      </c>
      <c r="C242" t="s">
        <v>138</v>
      </c>
      <c r="D242" s="4">
        <v>41893</v>
      </c>
      <c r="E242" t="s">
        <v>12</v>
      </c>
      <c r="F242">
        <v>1</v>
      </c>
      <c r="G242" t="s">
        <v>29</v>
      </c>
      <c r="H242">
        <v>0</v>
      </c>
      <c r="I242">
        <v>58.1</v>
      </c>
      <c r="J242">
        <v>41.9</v>
      </c>
      <c r="K242">
        <v>8</v>
      </c>
      <c r="L242">
        <v>3</v>
      </c>
      <c r="M242">
        <v>1</v>
      </c>
      <c r="N242">
        <v>0</v>
      </c>
      <c r="O242">
        <v>4</v>
      </c>
      <c r="P242">
        <v>2</v>
      </c>
      <c r="Q242">
        <v>3</v>
      </c>
      <c r="R242">
        <v>1</v>
      </c>
      <c r="S242">
        <v>87.8</v>
      </c>
      <c r="T242">
        <v>83.8</v>
      </c>
      <c r="U242">
        <v>1</v>
      </c>
      <c r="V242">
        <v>0</v>
      </c>
      <c r="W242">
        <v>61.5</v>
      </c>
      <c r="X242">
        <v>59.1</v>
      </c>
      <c r="Y242">
        <v>66.7</v>
      </c>
      <c r="Z242">
        <v>33.299999999999997</v>
      </c>
      <c r="AA242" s="17">
        <f t="shared" si="13"/>
        <v>38893</v>
      </c>
      <c r="AB242">
        <f t="shared" si="14"/>
        <v>39000</v>
      </c>
      <c r="AC242" s="18">
        <f t="shared" si="15"/>
        <v>99</v>
      </c>
      <c r="AD242" s="22">
        <f t="shared" si="16"/>
        <v>99</v>
      </c>
    </row>
    <row r="243" spans="1:30" x14ac:dyDescent="0.25">
      <c r="A243" t="s">
        <v>227</v>
      </c>
      <c r="B243" s="20">
        <v>44989</v>
      </c>
      <c r="C243" t="s">
        <v>185</v>
      </c>
      <c r="D243" s="4">
        <v>53419</v>
      </c>
      <c r="E243" t="s">
        <v>19</v>
      </c>
      <c r="F243">
        <v>2</v>
      </c>
      <c r="G243" t="s">
        <v>128</v>
      </c>
      <c r="H243">
        <v>0</v>
      </c>
      <c r="I243">
        <v>56.3</v>
      </c>
      <c r="J243">
        <v>43.7</v>
      </c>
      <c r="K243">
        <v>11</v>
      </c>
      <c r="L243">
        <v>5</v>
      </c>
      <c r="M243">
        <v>3</v>
      </c>
      <c r="N243">
        <v>2</v>
      </c>
      <c r="O243">
        <v>6</v>
      </c>
      <c r="P243">
        <v>1</v>
      </c>
      <c r="Q243">
        <v>2</v>
      </c>
      <c r="R243">
        <v>2</v>
      </c>
      <c r="S243">
        <v>86.5</v>
      </c>
      <c r="T243">
        <v>80.7</v>
      </c>
      <c r="U243">
        <v>2</v>
      </c>
      <c r="V243">
        <v>1</v>
      </c>
      <c r="W243">
        <v>46.2</v>
      </c>
      <c r="X243">
        <v>63.6</v>
      </c>
      <c r="Y243">
        <v>56.3</v>
      </c>
      <c r="Z243">
        <v>43.8</v>
      </c>
      <c r="AA243" s="17">
        <f t="shared" si="13"/>
        <v>50419</v>
      </c>
      <c r="AB243">
        <f t="shared" si="14"/>
        <v>50400</v>
      </c>
      <c r="AC243" s="18">
        <f t="shared" si="15"/>
        <v>100</v>
      </c>
      <c r="AD243" s="22">
        <f t="shared" si="16"/>
        <v>100</v>
      </c>
    </row>
    <row r="244" spans="1:30" x14ac:dyDescent="0.25">
      <c r="A244" t="s">
        <v>226</v>
      </c>
      <c r="B244" s="20">
        <v>44990</v>
      </c>
      <c r="C244" t="s">
        <v>146</v>
      </c>
      <c r="D244" s="4">
        <v>53001</v>
      </c>
      <c r="E244" t="s">
        <v>17</v>
      </c>
      <c r="F244">
        <v>7</v>
      </c>
      <c r="G244" t="s">
        <v>127</v>
      </c>
      <c r="H244">
        <v>0</v>
      </c>
      <c r="I244">
        <v>59.6</v>
      </c>
      <c r="J244">
        <v>40.4</v>
      </c>
      <c r="K244">
        <v>18</v>
      </c>
      <c r="L244">
        <v>8</v>
      </c>
      <c r="M244">
        <v>8</v>
      </c>
      <c r="N244">
        <v>4</v>
      </c>
      <c r="O244">
        <v>5</v>
      </c>
      <c r="P244">
        <v>3</v>
      </c>
      <c r="Q244">
        <v>5</v>
      </c>
      <c r="R244">
        <v>1</v>
      </c>
      <c r="S244">
        <v>78</v>
      </c>
      <c r="T244">
        <v>71</v>
      </c>
      <c r="U244">
        <v>6</v>
      </c>
      <c r="V244">
        <v>2</v>
      </c>
      <c r="W244">
        <v>82.4</v>
      </c>
      <c r="X244">
        <v>66.7</v>
      </c>
      <c r="Y244">
        <v>42.9</v>
      </c>
      <c r="Z244">
        <v>57.1</v>
      </c>
      <c r="AA244" s="17">
        <f t="shared" si="13"/>
        <v>50001</v>
      </c>
      <c r="AB244">
        <f t="shared" si="14"/>
        <v>58000</v>
      </c>
      <c r="AC244" s="18">
        <f t="shared" si="15"/>
        <v>86</v>
      </c>
      <c r="AD244" s="22">
        <f t="shared" si="16"/>
        <v>86</v>
      </c>
    </row>
    <row r="245" spans="1:30" x14ac:dyDescent="0.25">
      <c r="A245" t="s">
        <v>226</v>
      </c>
      <c r="B245" s="20">
        <v>44990</v>
      </c>
      <c r="C245" t="s">
        <v>189</v>
      </c>
      <c r="D245" s="4">
        <v>29353</v>
      </c>
      <c r="E245" t="s">
        <v>123</v>
      </c>
      <c r="F245">
        <v>2</v>
      </c>
      <c r="G245" t="s">
        <v>23</v>
      </c>
      <c r="H245">
        <v>2</v>
      </c>
      <c r="I245">
        <v>57.1</v>
      </c>
      <c r="J245">
        <v>42.9</v>
      </c>
      <c r="K245">
        <v>10</v>
      </c>
      <c r="L245">
        <v>10</v>
      </c>
      <c r="M245">
        <v>4</v>
      </c>
      <c r="N245">
        <v>3</v>
      </c>
      <c r="O245">
        <v>2</v>
      </c>
      <c r="P245">
        <v>2</v>
      </c>
      <c r="Q245">
        <v>4</v>
      </c>
      <c r="R245">
        <v>5</v>
      </c>
      <c r="S245">
        <v>76.7</v>
      </c>
      <c r="T245">
        <v>66.5</v>
      </c>
      <c r="U245">
        <v>0</v>
      </c>
      <c r="V245">
        <v>2</v>
      </c>
      <c r="W245">
        <v>70.8</v>
      </c>
      <c r="X245">
        <v>61.9</v>
      </c>
      <c r="Y245">
        <v>41.2</v>
      </c>
      <c r="Z245">
        <v>58.8</v>
      </c>
      <c r="AA245" s="17">
        <f t="shared" si="13"/>
        <v>26353</v>
      </c>
      <c r="AB245">
        <f t="shared" si="14"/>
        <v>27445</v>
      </c>
      <c r="AC245" s="18">
        <f t="shared" si="15"/>
        <v>96</v>
      </c>
      <c r="AD245" s="22">
        <f t="shared" si="16"/>
        <v>96</v>
      </c>
    </row>
    <row r="246" spans="1:30" x14ac:dyDescent="0.25">
      <c r="A246" t="s">
        <v>225</v>
      </c>
      <c r="B246" s="20">
        <v>44991</v>
      </c>
      <c r="C246" t="s">
        <v>174</v>
      </c>
      <c r="D246" s="4">
        <v>17025</v>
      </c>
      <c r="E246" t="s">
        <v>60</v>
      </c>
      <c r="F246">
        <v>3</v>
      </c>
      <c r="G246" t="s">
        <v>44</v>
      </c>
      <c r="H246">
        <v>2</v>
      </c>
      <c r="I246">
        <v>36.200000000000003</v>
      </c>
      <c r="J246">
        <v>63.8</v>
      </c>
      <c r="K246">
        <v>14</v>
      </c>
      <c r="L246">
        <v>9</v>
      </c>
      <c r="M246">
        <v>6</v>
      </c>
      <c r="N246">
        <v>5</v>
      </c>
      <c r="O246">
        <v>7</v>
      </c>
      <c r="P246">
        <v>4</v>
      </c>
      <c r="Q246">
        <v>1</v>
      </c>
      <c r="R246">
        <v>0</v>
      </c>
      <c r="S246">
        <v>66.8</v>
      </c>
      <c r="T246">
        <v>82.8</v>
      </c>
      <c r="U246">
        <v>3</v>
      </c>
      <c r="V246">
        <v>0</v>
      </c>
      <c r="W246">
        <v>68.2</v>
      </c>
      <c r="X246">
        <v>58.3</v>
      </c>
      <c r="Y246">
        <v>69.2</v>
      </c>
      <c r="Z246">
        <v>30.8</v>
      </c>
      <c r="AA246" s="17">
        <f t="shared" si="13"/>
        <v>14025</v>
      </c>
      <c r="AB246">
        <f t="shared" si="14"/>
        <v>15250</v>
      </c>
      <c r="AC246" s="18">
        <f t="shared" si="15"/>
        <v>91</v>
      </c>
      <c r="AD246" s="22">
        <f t="shared" si="16"/>
        <v>91</v>
      </c>
    </row>
    <row r="247" spans="1:30" x14ac:dyDescent="0.25">
      <c r="A247" t="s">
        <v>224</v>
      </c>
      <c r="B247" s="20">
        <v>44996</v>
      </c>
      <c r="C247" t="s">
        <v>188</v>
      </c>
      <c r="D247" s="4">
        <v>10536</v>
      </c>
      <c r="E247" t="s">
        <v>57</v>
      </c>
      <c r="F247">
        <v>1</v>
      </c>
      <c r="G247" t="s">
        <v>17</v>
      </c>
      <c r="H247">
        <v>0</v>
      </c>
      <c r="I247">
        <v>30.7</v>
      </c>
      <c r="J247">
        <v>69.3</v>
      </c>
      <c r="K247">
        <v>5</v>
      </c>
      <c r="L247">
        <v>15</v>
      </c>
      <c r="M247">
        <v>2</v>
      </c>
      <c r="N247">
        <v>6</v>
      </c>
      <c r="O247">
        <v>3</v>
      </c>
      <c r="P247">
        <v>8</v>
      </c>
      <c r="Q247">
        <v>0</v>
      </c>
      <c r="R247">
        <v>1</v>
      </c>
      <c r="S247">
        <v>65.5</v>
      </c>
      <c r="T247">
        <v>83.4</v>
      </c>
      <c r="U247">
        <v>2</v>
      </c>
      <c r="V247">
        <v>3</v>
      </c>
      <c r="W247">
        <v>63.6</v>
      </c>
      <c r="X247">
        <v>68.2</v>
      </c>
      <c r="Y247">
        <v>54.8</v>
      </c>
      <c r="Z247">
        <v>45.2</v>
      </c>
      <c r="AA247" s="17">
        <f t="shared" si="13"/>
        <v>7536</v>
      </c>
      <c r="AB247">
        <f t="shared" si="14"/>
        <v>9879</v>
      </c>
      <c r="AC247" s="18">
        <f t="shared" si="15"/>
        <v>76</v>
      </c>
      <c r="AD247" s="22">
        <f t="shared" si="16"/>
        <v>76</v>
      </c>
    </row>
    <row r="248" spans="1:30" x14ac:dyDescent="0.25">
      <c r="A248" t="s">
        <v>224</v>
      </c>
      <c r="B248" s="20">
        <v>44996</v>
      </c>
      <c r="C248" t="s">
        <v>175</v>
      </c>
      <c r="D248" s="4">
        <v>36471</v>
      </c>
      <c r="E248" t="s">
        <v>27</v>
      </c>
      <c r="F248">
        <v>2</v>
      </c>
      <c r="G248" t="s">
        <v>126</v>
      </c>
      <c r="H248">
        <v>2</v>
      </c>
      <c r="I248">
        <v>38</v>
      </c>
      <c r="J248">
        <v>62</v>
      </c>
      <c r="K248">
        <v>12</v>
      </c>
      <c r="L248">
        <v>15</v>
      </c>
      <c r="M248">
        <v>4</v>
      </c>
      <c r="N248">
        <v>3</v>
      </c>
      <c r="O248">
        <v>3</v>
      </c>
      <c r="P248">
        <v>8</v>
      </c>
      <c r="Q248">
        <v>5</v>
      </c>
      <c r="R248">
        <v>4</v>
      </c>
      <c r="S248">
        <v>82</v>
      </c>
      <c r="T248">
        <v>86.1</v>
      </c>
      <c r="U248">
        <v>0</v>
      </c>
      <c r="V248">
        <v>2</v>
      </c>
      <c r="W248">
        <v>71.400000000000006</v>
      </c>
      <c r="X248">
        <v>54.2</v>
      </c>
      <c r="Y248">
        <v>29.4</v>
      </c>
      <c r="Z248">
        <v>70.599999999999994</v>
      </c>
      <c r="AA248" s="17">
        <f t="shared" si="13"/>
        <v>33471</v>
      </c>
      <c r="AB248">
        <f t="shared" si="14"/>
        <v>35220</v>
      </c>
      <c r="AC248" s="18">
        <f t="shared" si="15"/>
        <v>95</v>
      </c>
      <c r="AD248" s="22">
        <f t="shared" si="16"/>
        <v>95</v>
      </c>
    </row>
    <row r="249" spans="1:30" x14ac:dyDescent="0.25">
      <c r="A249" t="s">
        <v>224</v>
      </c>
      <c r="B249" s="20">
        <v>44996</v>
      </c>
      <c r="C249" t="s">
        <v>187</v>
      </c>
      <c r="D249" s="4">
        <v>61460</v>
      </c>
      <c r="E249" t="s">
        <v>129</v>
      </c>
      <c r="F249">
        <v>3</v>
      </c>
      <c r="G249" t="s">
        <v>123</v>
      </c>
      <c r="H249">
        <v>1</v>
      </c>
      <c r="I249">
        <v>55.2</v>
      </c>
      <c r="J249">
        <v>44.8</v>
      </c>
      <c r="K249">
        <v>15</v>
      </c>
      <c r="L249">
        <v>9</v>
      </c>
      <c r="M249">
        <v>7</v>
      </c>
      <c r="N249">
        <v>5</v>
      </c>
      <c r="O249">
        <v>3</v>
      </c>
      <c r="P249">
        <v>2</v>
      </c>
      <c r="Q249">
        <v>5</v>
      </c>
      <c r="R249">
        <v>2</v>
      </c>
      <c r="S249">
        <v>87.1</v>
      </c>
      <c r="T249">
        <v>81.3</v>
      </c>
      <c r="U249">
        <v>0</v>
      </c>
      <c r="V249">
        <v>1</v>
      </c>
      <c r="W249">
        <v>60</v>
      </c>
      <c r="X249">
        <v>87.5</v>
      </c>
      <c r="Y249">
        <v>60.7</v>
      </c>
      <c r="Z249">
        <v>39.299999999999997</v>
      </c>
      <c r="AA249" s="17">
        <f t="shared" si="13"/>
        <v>58460</v>
      </c>
      <c r="AB249">
        <f t="shared" si="14"/>
        <v>59850</v>
      </c>
      <c r="AC249" s="18">
        <f t="shared" si="15"/>
        <v>97</v>
      </c>
      <c r="AD249" s="22">
        <f t="shared" si="16"/>
        <v>97</v>
      </c>
    </row>
    <row r="250" spans="1:30" x14ac:dyDescent="0.25">
      <c r="A250" t="s">
        <v>224</v>
      </c>
      <c r="B250" s="20">
        <v>44996</v>
      </c>
      <c r="C250" t="s">
        <v>143</v>
      </c>
      <c r="D250" s="4">
        <v>25844</v>
      </c>
      <c r="E250" t="s">
        <v>29</v>
      </c>
      <c r="F250">
        <v>0</v>
      </c>
      <c r="G250" t="s">
        <v>19</v>
      </c>
      <c r="H250">
        <v>1</v>
      </c>
      <c r="I250">
        <v>32.200000000000003</v>
      </c>
      <c r="J250">
        <v>67.8</v>
      </c>
      <c r="K250">
        <v>4</v>
      </c>
      <c r="L250">
        <v>14</v>
      </c>
      <c r="M250">
        <v>0</v>
      </c>
      <c r="N250">
        <v>4</v>
      </c>
      <c r="O250">
        <v>0</v>
      </c>
      <c r="P250">
        <v>5</v>
      </c>
      <c r="Q250">
        <v>4</v>
      </c>
      <c r="R250">
        <v>5</v>
      </c>
      <c r="S250">
        <v>75.2</v>
      </c>
      <c r="T250">
        <v>87.3</v>
      </c>
      <c r="U250">
        <v>0</v>
      </c>
      <c r="V250">
        <v>2</v>
      </c>
      <c r="W250">
        <v>72.7</v>
      </c>
      <c r="X250">
        <v>50</v>
      </c>
      <c r="Y250">
        <v>42.9</v>
      </c>
      <c r="Z250">
        <v>57.1</v>
      </c>
      <c r="AA250" s="17">
        <f t="shared" si="13"/>
        <v>22844</v>
      </c>
      <c r="AB250">
        <f t="shared" si="14"/>
        <v>23486</v>
      </c>
      <c r="AC250" s="18">
        <f t="shared" si="15"/>
        <v>97</v>
      </c>
      <c r="AD250" s="22">
        <f t="shared" si="16"/>
        <v>97</v>
      </c>
    </row>
    <row r="251" spans="1:30" x14ac:dyDescent="0.25">
      <c r="A251" t="s">
        <v>224</v>
      </c>
      <c r="B251" s="20">
        <v>44996</v>
      </c>
      <c r="C251" t="s">
        <v>144</v>
      </c>
      <c r="D251" s="4">
        <v>39036</v>
      </c>
      <c r="E251" t="s">
        <v>23</v>
      </c>
      <c r="F251">
        <v>1</v>
      </c>
      <c r="G251" t="s">
        <v>60</v>
      </c>
      <c r="H251">
        <v>0</v>
      </c>
      <c r="I251">
        <v>33.299999999999997</v>
      </c>
      <c r="J251">
        <v>66.7</v>
      </c>
      <c r="K251">
        <v>13</v>
      </c>
      <c r="L251">
        <v>12</v>
      </c>
      <c r="M251">
        <v>6</v>
      </c>
      <c r="N251">
        <v>4</v>
      </c>
      <c r="O251">
        <v>6</v>
      </c>
      <c r="P251">
        <v>6</v>
      </c>
      <c r="Q251">
        <v>1</v>
      </c>
      <c r="R251">
        <v>2</v>
      </c>
      <c r="S251">
        <v>62.6</v>
      </c>
      <c r="T251">
        <v>77.400000000000006</v>
      </c>
      <c r="U251">
        <v>1</v>
      </c>
      <c r="V251">
        <v>3</v>
      </c>
      <c r="W251">
        <v>56</v>
      </c>
      <c r="X251">
        <v>81.8</v>
      </c>
      <c r="Y251">
        <v>43.9</v>
      </c>
      <c r="Z251">
        <v>56.1</v>
      </c>
      <c r="AA251" s="17">
        <f t="shared" si="13"/>
        <v>36036</v>
      </c>
      <c r="AB251">
        <f t="shared" si="14"/>
        <v>36572</v>
      </c>
      <c r="AC251" s="18">
        <f t="shared" si="15"/>
        <v>98</v>
      </c>
      <c r="AD251" s="22">
        <f t="shared" si="16"/>
        <v>98</v>
      </c>
    </row>
    <row r="252" spans="1:30" x14ac:dyDescent="0.25">
      <c r="A252" t="s">
        <v>224</v>
      </c>
      <c r="B252" s="20">
        <v>44996</v>
      </c>
      <c r="C252" t="s">
        <v>176</v>
      </c>
      <c r="D252" s="4">
        <v>32170</v>
      </c>
      <c r="E252" t="s">
        <v>36</v>
      </c>
      <c r="F252">
        <v>1</v>
      </c>
      <c r="G252" t="s">
        <v>21</v>
      </c>
      <c r="H252">
        <v>3</v>
      </c>
      <c r="I252">
        <v>48.4</v>
      </c>
      <c r="J252">
        <v>51.6</v>
      </c>
      <c r="K252">
        <v>17</v>
      </c>
      <c r="L252">
        <v>12</v>
      </c>
      <c r="M252">
        <v>7</v>
      </c>
      <c r="N252">
        <v>6</v>
      </c>
      <c r="O252">
        <v>4</v>
      </c>
      <c r="P252">
        <v>3</v>
      </c>
      <c r="Q252">
        <v>6</v>
      </c>
      <c r="R252">
        <v>3</v>
      </c>
      <c r="S252">
        <v>83</v>
      </c>
      <c r="T252">
        <v>84.4</v>
      </c>
      <c r="U252">
        <v>3</v>
      </c>
      <c r="V252">
        <v>2</v>
      </c>
      <c r="W252">
        <v>73.3</v>
      </c>
      <c r="X252">
        <v>58.3</v>
      </c>
      <c r="Y252">
        <v>65.5</v>
      </c>
      <c r="Z252">
        <v>34.5</v>
      </c>
      <c r="AA252" s="17">
        <f t="shared" si="13"/>
        <v>29170</v>
      </c>
      <c r="AB252">
        <f t="shared" si="14"/>
        <v>29261</v>
      </c>
      <c r="AC252" s="18">
        <f t="shared" si="15"/>
        <v>99</v>
      </c>
      <c r="AD252" s="22">
        <f t="shared" si="16"/>
        <v>99</v>
      </c>
    </row>
    <row r="253" spans="1:30" x14ac:dyDescent="0.25">
      <c r="A253" t="s">
        <v>223</v>
      </c>
      <c r="B253" s="20">
        <v>44997</v>
      </c>
      <c r="C253" t="s">
        <v>145</v>
      </c>
      <c r="D253" s="4">
        <v>24426</v>
      </c>
      <c r="E253" t="s">
        <v>44</v>
      </c>
      <c r="F253">
        <v>0</v>
      </c>
      <c r="G253" t="s">
        <v>20</v>
      </c>
      <c r="H253">
        <v>3</v>
      </c>
      <c r="I253">
        <v>44.7</v>
      </c>
      <c r="J253">
        <v>55.3</v>
      </c>
      <c r="K253">
        <v>12</v>
      </c>
      <c r="L253">
        <v>15</v>
      </c>
      <c r="M253">
        <v>2</v>
      </c>
      <c r="N253">
        <v>7</v>
      </c>
      <c r="O253">
        <v>6</v>
      </c>
      <c r="P253">
        <v>3</v>
      </c>
      <c r="Q253">
        <v>4</v>
      </c>
      <c r="R253">
        <v>5</v>
      </c>
      <c r="S253">
        <v>82.7</v>
      </c>
      <c r="T253">
        <v>86.5</v>
      </c>
      <c r="U253">
        <v>0</v>
      </c>
      <c r="V253">
        <v>4</v>
      </c>
      <c r="W253">
        <v>57.1</v>
      </c>
      <c r="X253">
        <v>70</v>
      </c>
      <c r="Y253">
        <v>59.3</v>
      </c>
      <c r="Z253">
        <v>40.700000000000003</v>
      </c>
      <c r="AA253" s="17">
        <f t="shared" si="13"/>
        <v>21426</v>
      </c>
      <c r="AB253">
        <f t="shared" si="14"/>
        <v>25700</v>
      </c>
      <c r="AC253" s="18">
        <f t="shared" si="15"/>
        <v>83</v>
      </c>
      <c r="AD253" s="22">
        <f t="shared" si="16"/>
        <v>83</v>
      </c>
    </row>
    <row r="254" spans="1:30" x14ac:dyDescent="0.25">
      <c r="A254" t="s">
        <v>223</v>
      </c>
      <c r="B254" s="20">
        <v>44997</v>
      </c>
      <c r="C254" t="s">
        <v>184</v>
      </c>
      <c r="D254" s="4">
        <v>62472</v>
      </c>
      <c r="E254" t="s">
        <v>130</v>
      </c>
      <c r="F254">
        <v>1</v>
      </c>
      <c r="G254" t="s">
        <v>12</v>
      </c>
      <c r="H254">
        <v>1</v>
      </c>
      <c r="I254">
        <v>40.799999999999997</v>
      </c>
      <c r="J254">
        <v>59.2</v>
      </c>
      <c r="K254">
        <v>17</v>
      </c>
      <c r="L254">
        <v>12</v>
      </c>
      <c r="M254">
        <v>6</v>
      </c>
      <c r="N254">
        <v>4</v>
      </c>
      <c r="O254">
        <v>8</v>
      </c>
      <c r="P254">
        <v>4</v>
      </c>
      <c r="Q254">
        <v>3</v>
      </c>
      <c r="R254">
        <v>4</v>
      </c>
      <c r="S254">
        <v>82.4</v>
      </c>
      <c r="T254">
        <v>87</v>
      </c>
      <c r="U254">
        <v>2</v>
      </c>
      <c r="V254">
        <v>3</v>
      </c>
      <c r="W254">
        <v>55.6</v>
      </c>
      <c r="X254">
        <v>66.7</v>
      </c>
      <c r="Y254">
        <v>60</v>
      </c>
      <c r="Z254">
        <v>40</v>
      </c>
      <c r="AA254" s="17">
        <f t="shared" si="13"/>
        <v>59472</v>
      </c>
      <c r="AB254">
        <f t="shared" si="14"/>
        <v>65013</v>
      </c>
      <c r="AC254" s="18">
        <f t="shared" si="15"/>
        <v>91</v>
      </c>
      <c r="AD254" s="22">
        <f t="shared" si="16"/>
        <v>91</v>
      </c>
    </row>
    <row r="255" spans="1:30" x14ac:dyDescent="0.25">
      <c r="A255" t="s">
        <v>223</v>
      </c>
      <c r="B255" s="20">
        <v>44997</v>
      </c>
      <c r="C255" t="s">
        <v>148</v>
      </c>
      <c r="D255" s="4">
        <v>73439</v>
      </c>
      <c r="E255" t="s">
        <v>127</v>
      </c>
      <c r="F255">
        <v>0</v>
      </c>
      <c r="G255" t="s">
        <v>28</v>
      </c>
      <c r="H255">
        <v>0</v>
      </c>
      <c r="I255">
        <v>46.7</v>
      </c>
      <c r="J255">
        <v>53.3</v>
      </c>
      <c r="K255">
        <v>10</v>
      </c>
      <c r="L255">
        <v>17</v>
      </c>
      <c r="M255">
        <v>4</v>
      </c>
      <c r="N255">
        <v>4</v>
      </c>
      <c r="O255">
        <v>3</v>
      </c>
      <c r="P255">
        <v>4</v>
      </c>
      <c r="Q255">
        <v>3</v>
      </c>
      <c r="R255">
        <v>9</v>
      </c>
      <c r="S255">
        <v>78</v>
      </c>
      <c r="T255">
        <v>84.5</v>
      </c>
      <c r="U255">
        <v>2</v>
      </c>
      <c r="V255">
        <v>1</v>
      </c>
      <c r="W255">
        <v>43.5</v>
      </c>
      <c r="X255">
        <v>78.599999999999994</v>
      </c>
      <c r="Y255">
        <v>68.8</v>
      </c>
      <c r="Z255">
        <v>31.3</v>
      </c>
      <c r="AA255" s="17">
        <f t="shared" si="13"/>
        <v>70439</v>
      </c>
      <c r="AB255">
        <f t="shared" si="14"/>
        <v>71310</v>
      </c>
      <c r="AC255" s="18">
        <f t="shared" si="15"/>
        <v>98</v>
      </c>
      <c r="AD255" s="22">
        <f t="shared" si="16"/>
        <v>98</v>
      </c>
    </row>
    <row r="256" spans="1:30" x14ac:dyDescent="0.25">
      <c r="A256" t="s">
        <v>223</v>
      </c>
      <c r="B256" s="20">
        <v>44997</v>
      </c>
      <c r="C256" t="s">
        <v>182</v>
      </c>
      <c r="D256" s="4">
        <v>52240</v>
      </c>
      <c r="E256" t="s">
        <v>128</v>
      </c>
      <c r="F256">
        <v>2</v>
      </c>
      <c r="G256" t="s">
        <v>173</v>
      </c>
      <c r="H256">
        <v>1</v>
      </c>
      <c r="I256">
        <v>42.1</v>
      </c>
      <c r="J256">
        <v>57.9</v>
      </c>
      <c r="K256">
        <v>19</v>
      </c>
      <c r="L256">
        <v>7</v>
      </c>
      <c r="M256">
        <v>8</v>
      </c>
      <c r="N256">
        <v>4</v>
      </c>
      <c r="O256">
        <v>3</v>
      </c>
      <c r="P256">
        <v>3</v>
      </c>
      <c r="Q256">
        <v>8</v>
      </c>
      <c r="R256">
        <v>0</v>
      </c>
      <c r="S256">
        <v>78.8</v>
      </c>
      <c r="T256">
        <v>81.2</v>
      </c>
      <c r="U256">
        <v>3</v>
      </c>
      <c r="V256">
        <v>0</v>
      </c>
      <c r="W256">
        <v>46.2</v>
      </c>
      <c r="X256">
        <v>60</v>
      </c>
      <c r="Y256">
        <v>52.2</v>
      </c>
      <c r="Z256">
        <v>47.8</v>
      </c>
      <c r="AA256" s="17">
        <f t="shared" si="13"/>
        <v>49240</v>
      </c>
      <c r="AB256">
        <f t="shared" si="14"/>
        <v>49350</v>
      </c>
      <c r="AC256" s="18">
        <f t="shared" si="15"/>
        <v>99</v>
      </c>
      <c r="AD256" s="22">
        <f t="shared" si="16"/>
        <v>99</v>
      </c>
    </row>
    <row r="257" spans="1:30" x14ac:dyDescent="0.25">
      <c r="A257" t="s">
        <v>222</v>
      </c>
      <c r="B257" s="20">
        <v>45000</v>
      </c>
      <c r="C257" t="s">
        <v>177</v>
      </c>
      <c r="D257" s="4">
        <v>30438</v>
      </c>
      <c r="E257" t="s">
        <v>28</v>
      </c>
      <c r="F257">
        <v>0</v>
      </c>
      <c r="G257" t="s">
        <v>60</v>
      </c>
      <c r="H257">
        <v>2</v>
      </c>
      <c r="I257">
        <v>66.400000000000006</v>
      </c>
      <c r="J257">
        <v>33.6</v>
      </c>
      <c r="K257">
        <v>7</v>
      </c>
      <c r="L257">
        <v>11</v>
      </c>
      <c r="M257">
        <v>1</v>
      </c>
      <c r="N257">
        <v>5</v>
      </c>
      <c r="O257">
        <v>3</v>
      </c>
      <c r="P257">
        <v>2</v>
      </c>
      <c r="Q257">
        <v>3</v>
      </c>
      <c r="R257">
        <v>4</v>
      </c>
      <c r="S257">
        <v>82.4</v>
      </c>
      <c r="T257">
        <v>64.400000000000006</v>
      </c>
      <c r="U257">
        <v>0</v>
      </c>
      <c r="V257">
        <v>3</v>
      </c>
      <c r="W257">
        <v>37.5</v>
      </c>
      <c r="X257">
        <v>55</v>
      </c>
      <c r="Y257">
        <v>41.5</v>
      </c>
      <c r="Z257">
        <v>58.5</v>
      </c>
      <c r="AA257" s="17">
        <f t="shared" si="13"/>
        <v>27438</v>
      </c>
      <c r="AB257">
        <f t="shared" si="14"/>
        <v>29384</v>
      </c>
      <c r="AC257" s="18">
        <f t="shared" si="15"/>
        <v>93</v>
      </c>
      <c r="AD257" s="22">
        <f t="shared" si="16"/>
        <v>93</v>
      </c>
    </row>
    <row r="258" spans="1:30" x14ac:dyDescent="0.25">
      <c r="A258" t="s">
        <v>222</v>
      </c>
      <c r="B258" s="20">
        <v>45000</v>
      </c>
      <c r="C258" t="s">
        <v>180</v>
      </c>
      <c r="D258" s="4">
        <v>30933</v>
      </c>
      <c r="E258" t="s">
        <v>126</v>
      </c>
      <c r="F258">
        <v>1</v>
      </c>
      <c r="G258" t="s">
        <v>29</v>
      </c>
      <c r="H258">
        <v>0</v>
      </c>
      <c r="I258">
        <v>57.1</v>
      </c>
      <c r="J258">
        <v>42.9</v>
      </c>
      <c r="K258">
        <v>11</v>
      </c>
      <c r="L258">
        <v>11</v>
      </c>
      <c r="M258">
        <v>5</v>
      </c>
      <c r="N258">
        <v>3</v>
      </c>
      <c r="O258">
        <v>5</v>
      </c>
      <c r="P258">
        <v>6</v>
      </c>
      <c r="Q258">
        <v>1</v>
      </c>
      <c r="R258">
        <v>2</v>
      </c>
      <c r="S258">
        <v>84.3</v>
      </c>
      <c r="T258">
        <v>80.2</v>
      </c>
      <c r="U258">
        <v>0</v>
      </c>
      <c r="V258">
        <v>2</v>
      </c>
      <c r="W258">
        <v>55</v>
      </c>
      <c r="X258">
        <v>73.3</v>
      </c>
      <c r="Y258">
        <v>76.900000000000006</v>
      </c>
      <c r="Z258">
        <v>23.1</v>
      </c>
      <c r="AA258" s="17">
        <f t="shared" ref="AA258:AA321" si="17">D258-3000</f>
        <v>27933</v>
      </c>
      <c r="AB258">
        <f t="shared" ref="AB258:AB321" si="18">VLOOKUP(E258,$AJ$1:$AN$23,5,FALSE)</f>
        <v>28876</v>
      </c>
      <c r="AC258" s="18">
        <f t="shared" ref="AC258:AC321" si="19">TRUNC(100*AA258/AB258,0)</f>
        <v>96</v>
      </c>
      <c r="AD258" s="22">
        <f t="shared" ref="AD258:AD321" si="20">AC258</f>
        <v>96</v>
      </c>
    </row>
    <row r="259" spans="1:30" x14ac:dyDescent="0.25">
      <c r="A259" t="s">
        <v>221</v>
      </c>
      <c r="B259" s="20">
        <v>45002</v>
      </c>
      <c r="C259" t="s">
        <v>189</v>
      </c>
      <c r="D259" s="4">
        <v>29362</v>
      </c>
      <c r="E259" t="s">
        <v>123</v>
      </c>
      <c r="F259">
        <v>1</v>
      </c>
      <c r="G259" t="s">
        <v>128</v>
      </c>
      <c r="H259">
        <v>2</v>
      </c>
      <c r="I259">
        <v>38.4</v>
      </c>
      <c r="J259">
        <v>61.6</v>
      </c>
      <c r="K259">
        <v>5</v>
      </c>
      <c r="L259">
        <v>15</v>
      </c>
      <c r="M259">
        <v>3</v>
      </c>
      <c r="N259">
        <v>4</v>
      </c>
      <c r="O259">
        <v>2</v>
      </c>
      <c r="P259">
        <v>5</v>
      </c>
      <c r="Q259">
        <v>0</v>
      </c>
      <c r="R259">
        <v>6</v>
      </c>
      <c r="S259">
        <v>67.400000000000006</v>
      </c>
      <c r="T259">
        <v>79.7</v>
      </c>
      <c r="U259">
        <v>0</v>
      </c>
      <c r="V259">
        <v>2</v>
      </c>
      <c r="W259">
        <v>75</v>
      </c>
      <c r="X259">
        <v>73.3</v>
      </c>
      <c r="Y259">
        <v>34.200000000000003</v>
      </c>
      <c r="Z259">
        <v>65.8</v>
      </c>
      <c r="AA259" s="17">
        <f t="shared" si="17"/>
        <v>26362</v>
      </c>
      <c r="AB259">
        <f t="shared" si="18"/>
        <v>27445</v>
      </c>
      <c r="AC259" s="18">
        <f t="shared" si="19"/>
        <v>96</v>
      </c>
      <c r="AD259" s="22">
        <f t="shared" si="20"/>
        <v>96</v>
      </c>
    </row>
    <row r="260" spans="1:30" x14ac:dyDescent="0.25">
      <c r="A260" t="s">
        <v>220</v>
      </c>
      <c r="B260" s="20">
        <v>45003</v>
      </c>
      <c r="C260" t="s">
        <v>174</v>
      </c>
      <c r="D260" s="4">
        <v>17006</v>
      </c>
      <c r="E260" t="s">
        <v>60</v>
      </c>
      <c r="F260">
        <v>1</v>
      </c>
      <c r="G260" t="s">
        <v>36</v>
      </c>
      <c r="H260">
        <v>1</v>
      </c>
      <c r="I260">
        <v>52.9</v>
      </c>
      <c r="J260">
        <v>47.1</v>
      </c>
      <c r="K260">
        <v>11</v>
      </c>
      <c r="L260">
        <v>14</v>
      </c>
      <c r="M260">
        <v>2</v>
      </c>
      <c r="N260">
        <v>1</v>
      </c>
      <c r="O260">
        <v>2</v>
      </c>
      <c r="P260">
        <v>6</v>
      </c>
      <c r="Q260">
        <v>7</v>
      </c>
      <c r="R260">
        <v>7</v>
      </c>
      <c r="S260">
        <v>77.3</v>
      </c>
      <c r="T260">
        <v>80.099999999999994</v>
      </c>
      <c r="U260">
        <v>0</v>
      </c>
      <c r="V260">
        <v>1</v>
      </c>
      <c r="W260">
        <v>77.3</v>
      </c>
      <c r="X260">
        <v>41.7</v>
      </c>
      <c r="Y260">
        <v>51.6</v>
      </c>
      <c r="Z260">
        <v>48.4</v>
      </c>
      <c r="AA260" s="17">
        <f t="shared" si="17"/>
        <v>14006</v>
      </c>
      <c r="AB260">
        <f t="shared" si="18"/>
        <v>15250</v>
      </c>
      <c r="AC260" s="18">
        <f t="shared" si="19"/>
        <v>91</v>
      </c>
      <c r="AD260" s="22">
        <f t="shared" si="20"/>
        <v>91</v>
      </c>
    </row>
    <row r="261" spans="1:30" x14ac:dyDescent="0.25">
      <c r="A261" t="s">
        <v>220</v>
      </c>
      <c r="B261" s="20">
        <v>45003</v>
      </c>
      <c r="C261" t="s">
        <v>177</v>
      </c>
      <c r="D261" s="4">
        <v>30157</v>
      </c>
      <c r="E261" t="s">
        <v>28</v>
      </c>
      <c r="F261">
        <v>3</v>
      </c>
      <c r="G261" t="s">
        <v>129</v>
      </c>
      <c r="H261">
        <v>3</v>
      </c>
      <c r="I261">
        <v>50.4</v>
      </c>
      <c r="J261">
        <v>49.6</v>
      </c>
      <c r="K261">
        <v>19</v>
      </c>
      <c r="L261">
        <v>17</v>
      </c>
      <c r="M261">
        <v>7</v>
      </c>
      <c r="N261">
        <v>3</v>
      </c>
      <c r="O261">
        <v>7</v>
      </c>
      <c r="P261">
        <v>9</v>
      </c>
      <c r="Q261">
        <v>5</v>
      </c>
      <c r="R261">
        <v>5</v>
      </c>
      <c r="S261">
        <v>84.9</v>
      </c>
      <c r="T261">
        <v>83.8</v>
      </c>
      <c r="U261">
        <v>2</v>
      </c>
      <c r="V261">
        <v>2</v>
      </c>
      <c r="W261">
        <v>76.900000000000006</v>
      </c>
      <c r="X261">
        <v>68.400000000000006</v>
      </c>
      <c r="Y261">
        <v>41.7</v>
      </c>
      <c r="Z261">
        <v>58.3</v>
      </c>
      <c r="AA261" s="17">
        <f t="shared" si="17"/>
        <v>27157</v>
      </c>
      <c r="AB261">
        <f t="shared" si="18"/>
        <v>29384</v>
      </c>
      <c r="AC261" s="18">
        <f t="shared" si="19"/>
        <v>92</v>
      </c>
      <c r="AD261" s="22">
        <f t="shared" si="20"/>
        <v>92</v>
      </c>
    </row>
    <row r="262" spans="1:30" x14ac:dyDescent="0.25">
      <c r="A262" t="s">
        <v>220</v>
      </c>
      <c r="B262" s="20">
        <v>45003</v>
      </c>
      <c r="C262" t="s">
        <v>138</v>
      </c>
      <c r="D262" s="4">
        <v>41021</v>
      </c>
      <c r="E262" t="s">
        <v>12</v>
      </c>
      <c r="F262">
        <v>3</v>
      </c>
      <c r="G262" t="s">
        <v>57</v>
      </c>
      <c r="H262">
        <v>0</v>
      </c>
      <c r="I262">
        <v>55.8</v>
      </c>
      <c r="J262">
        <v>44.2</v>
      </c>
      <c r="K262">
        <v>20</v>
      </c>
      <c r="L262">
        <v>10</v>
      </c>
      <c r="M262">
        <v>9</v>
      </c>
      <c r="N262">
        <v>3</v>
      </c>
      <c r="O262">
        <v>3</v>
      </c>
      <c r="P262">
        <v>4</v>
      </c>
      <c r="Q262">
        <v>8</v>
      </c>
      <c r="R262">
        <v>3</v>
      </c>
      <c r="S262">
        <v>85.2</v>
      </c>
      <c r="T262">
        <v>84</v>
      </c>
      <c r="U262">
        <v>5</v>
      </c>
      <c r="V262">
        <v>0</v>
      </c>
      <c r="W262">
        <v>62.5</v>
      </c>
      <c r="X262">
        <v>75</v>
      </c>
      <c r="Y262">
        <v>43.8</v>
      </c>
      <c r="Z262">
        <v>56.3</v>
      </c>
      <c r="AA262" s="17">
        <f t="shared" si="17"/>
        <v>38021</v>
      </c>
      <c r="AB262">
        <f t="shared" si="18"/>
        <v>39000</v>
      </c>
      <c r="AC262" s="18">
        <f t="shared" si="19"/>
        <v>97</v>
      </c>
      <c r="AD262" s="22">
        <f t="shared" si="20"/>
        <v>97</v>
      </c>
    </row>
    <row r="263" spans="1:30" x14ac:dyDescent="0.25">
      <c r="A263" t="s">
        <v>220</v>
      </c>
      <c r="B263" s="20">
        <v>45003</v>
      </c>
      <c r="C263" t="s">
        <v>152</v>
      </c>
      <c r="D263" s="4">
        <v>31570</v>
      </c>
      <c r="E263" t="s">
        <v>173</v>
      </c>
      <c r="F263">
        <v>2</v>
      </c>
      <c r="G263" t="s">
        <v>27</v>
      </c>
      <c r="H263">
        <v>4</v>
      </c>
      <c r="I263">
        <v>65.900000000000006</v>
      </c>
      <c r="J263">
        <v>34.1</v>
      </c>
      <c r="K263">
        <v>23</v>
      </c>
      <c r="L263">
        <v>11</v>
      </c>
      <c r="M263">
        <v>8</v>
      </c>
      <c r="N263">
        <v>4</v>
      </c>
      <c r="O263">
        <v>9</v>
      </c>
      <c r="P263">
        <v>5</v>
      </c>
      <c r="Q263">
        <v>6</v>
      </c>
      <c r="R263">
        <v>2</v>
      </c>
      <c r="S263">
        <v>83.1</v>
      </c>
      <c r="T263">
        <v>67.7</v>
      </c>
      <c r="U263">
        <v>4</v>
      </c>
      <c r="V263">
        <v>2</v>
      </c>
      <c r="W263">
        <v>71.400000000000006</v>
      </c>
      <c r="X263">
        <v>66.7</v>
      </c>
      <c r="Y263">
        <v>59.3</v>
      </c>
      <c r="Z263">
        <v>40.700000000000003</v>
      </c>
      <c r="AA263" s="17">
        <f t="shared" si="17"/>
        <v>28570</v>
      </c>
      <c r="AB263">
        <f t="shared" si="18"/>
        <v>29050</v>
      </c>
      <c r="AC263" s="18">
        <f t="shared" si="19"/>
        <v>98</v>
      </c>
      <c r="AD263" s="22">
        <f t="shared" si="20"/>
        <v>98</v>
      </c>
    </row>
    <row r="264" spans="1:30" x14ac:dyDescent="0.25">
      <c r="A264" t="s">
        <v>220</v>
      </c>
      <c r="B264" s="20">
        <v>45003</v>
      </c>
      <c r="C264" t="s">
        <v>142</v>
      </c>
      <c r="D264" s="4">
        <v>40025</v>
      </c>
      <c r="E264" t="s">
        <v>21</v>
      </c>
      <c r="F264">
        <v>2</v>
      </c>
      <c r="G264" t="s">
        <v>23</v>
      </c>
      <c r="H264">
        <v>2</v>
      </c>
      <c r="I264">
        <v>68.900000000000006</v>
      </c>
      <c r="J264">
        <v>31.1</v>
      </c>
      <c r="K264">
        <v>20</v>
      </c>
      <c r="L264">
        <v>12</v>
      </c>
      <c r="M264">
        <v>7</v>
      </c>
      <c r="N264">
        <v>3</v>
      </c>
      <c r="O264">
        <v>3</v>
      </c>
      <c r="P264">
        <v>4</v>
      </c>
      <c r="Q264">
        <v>10</v>
      </c>
      <c r="R264">
        <v>5</v>
      </c>
      <c r="S264">
        <v>83.9</v>
      </c>
      <c r="T264">
        <v>67.099999999999994</v>
      </c>
      <c r="U264">
        <v>0</v>
      </c>
      <c r="V264">
        <v>3</v>
      </c>
      <c r="W264">
        <v>73.3</v>
      </c>
      <c r="X264">
        <v>65</v>
      </c>
      <c r="Y264">
        <v>67.900000000000006</v>
      </c>
      <c r="Z264">
        <v>32.1</v>
      </c>
      <c r="AA264" s="17">
        <f t="shared" si="17"/>
        <v>37025</v>
      </c>
      <c r="AB264">
        <f t="shared" si="18"/>
        <v>37343</v>
      </c>
      <c r="AC264" s="18">
        <f t="shared" si="19"/>
        <v>99</v>
      </c>
      <c r="AD264" s="22">
        <f t="shared" si="20"/>
        <v>99</v>
      </c>
    </row>
    <row r="265" spans="1:30" x14ac:dyDescent="0.25">
      <c r="A265" t="s">
        <v>219</v>
      </c>
      <c r="B265" s="20">
        <v>45004</v>
      </c>
      <c r="C265" t="s">
        <v>172</v>
      </c>
      <c r="D265" s="4">
        <v>60247</v>
      </c>
      <c r="E265" t="s">
        <v>20</v>
      </c>
      <c r="F265">
        <v>4</v>
      </c>
      <c r="G265" t="s">
        <v>29</v>
      </c>
      <c r="H265">
        <v>1</v>
      </c>
      <c r="I265">
        <v>62.2</v>
      </c>
      <c r="J265">
        <v>37.799999999999997</v>
      </c>
      <c r="K265">
        <v>15</v>
      </c>
      <c r="L265">
        <v>9</v>
      </c>
      <c r="M265">
        <v>5</v>
      </c>
      <c r="N265">
        <v>5</v>
      </c>
      <c r="O265">
        <v>5</v>
      </c>
      <c r="P265">
        <v>1</v>
      </c>
      <c r="Q265">
        <v>5</v>
      </c>
      <c r="R265">
        <v>3</v>
      </c>
      <c r="S265">
        <v>86.7</v>
      </c>
      <c r="T265">
        <v>77.900000000000006</v>
      </c>
      <c r="U265">
        <v>1</v>
      </c>
      <c r="V265">
        <v>1</v>
      </c>
      <c r="W265">
        <v>60</v>
      </c>
      <c r="X265">
        <v>55.6</v>
      </c>
      <c r="Y265">
        <v>62.1</v>
      </c>
      <c r="Z265">
        <v>37.9</v>
      </c>
      <c r="AA265" s="17">
        <f t="shared" si="17"/>
        <v>57247</v>
      </c>
      <c r="AB265">
        <f t="shared" si="18"/>
        <v>57704</v>
      </c>
      <c r="AC265" s="18">
        <f t="shared" si="19"/>
        <v>99</v>
      </c>
      <c r="AD265" s="22">
        <f t="shared" si="20"/>
        <v>99</v>
      </c>
    </row>
    <row r="266" spans="1:30" x14ac:dyDescent="0.25">
      <c r="A266" t="s">
        <v>218</v>
      </c>
      <c r="B266" s="20">
        <v>45017</v>
      </c>
      <c r="C266" t="s">
        <v>188</v>
      </c>
      <c r="D266" s="4">
        <v>10305</v>
      </c>
      <c r="E266" t="s">
        <v>57</v>
      </c>
      <c r="F266">
        <v>2</v>
      </c>
      <c r="G266" t="s">
        <v>44</v>
      </c>
      <c r="H266">
        <v>1</v>
      </c>
      <c r="I266">
        <v>42.7</v>
      </c>
      <c r="J266">
        <v>57.3</v>
      </c>
      <c r="K266">
        <v>12</v>
      </c>
      <c r="L266">
        <v>10</v>
      </c>
      <c r="M266">
        <v>7</v>
      </c>
      <c r="N266">
        <v>2</v>
      </c>
      <c r="O266">
        <v>3</v>
      </c>
      <c r="P266">
        <v>6</v>
      </c>
      <c r="Q266">
        <v>2</v>
      </c>
      <c r="R266">
        <v>2</v>
      </c>
      <c r="S266">
        <v>76.599999999999994</v>
      </c>
      <c r="T266">
        <v>85.5</v>
      </c>
      <c r="U266">
        <v>2</v>
      </c>
      <c r="V266">
        <v>0</v>
      </c>
      <c r="W266">
        <v>76.5</v>
      </c>
      <c r="X266">
        <v>57.9</v>
      </c>
      <c r="Y266">
        <v>52.2</v>
      </c>
      <c r="Z266">
        <v>47.8</v>
      </c>
      <c r="AA266" s="17">
        <f t="shared" si="17"/>
        <v>7305</v>
      </c>
      <c r="AB266">
        <f t="shared" si="18"/>
        <v>9879</v>
      </c>
      <c r="AC266" s="18">
        <f t="shared" si="19"/>
        <v>73</v>
      </c>
      <c r="AD266" s="22">
        <f t="shared" si="20"/>
        <v>73</v>
      </c>
    </row>
    <row r="267" spans="1:30" x14ac:dyDescent="0.25">
      <c r="A267" t="s">
        <v>218</v>
      </c>
      <c r="B267" s="20">
        <v>45017</v>
      </c>
      <c r="C267" t="s">
        <v>143</v>
      </c>
      <c r="D267" s="4">
        <v>25143</v>
      </c>
      <c r="E267" t="s">
        <v>29</v>
      </c>
      <c r="F267">
        <v>2</v>
      </c>
      <c r="G267" t="s">
        <v>36</v>
      </c>
      <c r="H267">
        <v>1</v>
      </c>
      <c r="I267">
        <v>51</v>
      </c>
      <c r="J267">
        <v>49</v>
      </c>
      <c r="K267">
        <v>31</v>
      </c>
      <c r="L267">
        <v>3</v>
      </c>
      <c r="M267">
        <v>9</v>
      </c>
      <c r="N267">
        <v>2</v>
      </c>
      <c r="O267">
        <v>8</v>
      </c>
      <c r="P267">
        <v>0</v>
      </c>
      <c r="Q267">
        <v>14</v>
      </c>
      <c r="R267">
        <v>1</v>
      </c>
      <c r="S267">
        <v>80</v>
      </c>
      <c r="T267">
        <v>77.5</v>
      </c>
      <c r="U267">
        <v>2</v>
      </c>
      <c r="V267">
        <v>0</v>
      </c>
      <c r="W267">
        <v>66.7</v>
      </c>
      <c r="X267">
        <v>50</v>
      </c>
      <c r="Y267">
        <v>46.9</v>
      </c>
      <c r="Z267">
        <v>53.1</v>
      </c>
      <c r="AA267" s="17">
        <f t="shared" si="17"/>
        <v>22143</v>
      </c>
      <c r="AB267">
        <f t="shared" si="18"/>
        <v>23486</v>
      </c>
      <c r="AC267" s="18">
        <f t="shared" si="19"/>
        <v>94</v>
      </c>
      <c r="AD267" s="22">
        <f t="shared" si="20"/>
        <v>94</v>
      </c>
    </row>
    <row r="268" spans="1:30" x14ac:dyDescent="0.25">
      <c r="A268" t="s">
        <v>218</v>
      </c>
      <c r="B268" s="20">
        <v>45017</v>
      </c>
      <c r="C268" t="s">
        <v>189</v>
      </c>
      <c r="D268" s="4">
        <v>29368</v>
      </c>
      <c r="E268" t="s">
        <v>123</v>
      </c>
      <c r="F268">
        <v>1</v>
      </c>
      <c r="G268" t="s">
        <v>173</v>
      </c>
      <c r="H268">
        <v>1</v>
      </c>
      <c r="I268">
        <v>27.6</v>
      </c>
      <c r="J268">
        <v>72.400000000000006</v>
      </c>
      <c r="K268">
        <v>17</v>
      </c>
      <c r="L268">
        <v>8</v>
      </c>
      <c r="M268">
        <v>7</v>
      </c>
      <c r="N268">
        <v>1</v>
      </c>
      <c r="O268">
        <v>7</v>
      </c>
      <c r="P268">
        <v>3</v>
      </c>
      <c r="Q268">
        <v>3</v>
      </c>
      <c r="R268">
        <v>4</v>
      </c>
      <c r="S268">
        <v>68.900000000000006</v>
      </c>
      <c r="T268">
        <v>85.1</v>
      </c>
      <c r="U268">
        <v>0</v>
      </c>
      <c r="V268">
        <v>0</v>
      </c>
      <c r="W268">
        <v>53.3</v>
      </c>
      <c r="X268">
        <v>42.9</v>
      </c>
      <c r="Y268">
        <v>51.5</v>
      </c>
      <c r="Z268">
        <v>48.5</v>
      </c>
      <c r="AA268" s="17">
        <f t="shared" si="17"/>
        <v>26368</v>
      </c>
      <c r="AB268">
        <f t="shared" si="18"/>
        <v>27445</v>
      </c>
      <c r="AC268" s="18">
        <f t="shared" si="19"/>
        <v>96</v>
      </c>
      <c r="AD268" s="22">
        <f t="shared" si="20"/>
        <v>96</v>
      </c>
    </row>
    <row r="269" spans="1:30" x14ac:dyDescent="0.25">
      <c r="A269" t="s">
        <v>218</v>
      </c>
      <c r="B269" s="20">
        <v>45017</v>
      </c>
      <c r="C269" t="s">
        <v>185</v>
      </c>
      <c r="D269" s="4">
        <v>52877</v>
      </c>
      <c r="E269" t="s">
        <v>19</v>
      </c>
      <c r="F269">
        <v>4</v>
      </c>
      <c r="G269" t="s">
        <v>17</v>
      </c>
      <c r="H269">
        <v>1</v>
      </c>
      <c r="I269">
        <v>68.099999999999994</v>
      </c>
      <c r="J269">
        <v>31.9</v>
      </c>
      <c r="K269">
        <v>17</v>
      </c>
      <c r="L269">
        <v>4</v>
      </c>
      <c r="M269">
        <v>8</v>
      </c>
      <c r="N269">
        <v>1</v>
      </c>
      <c r="O269">
        <v>3</v>
      </c>
      <c r="P269">
        <v>0</v>
      </c>
      <c r="Q269">
        <v>6</v>
      </c>
      <c r="R269">
        <v>3</v>
      </c>
      <c r="S269">
        <v>91.9</v>
      </c>
      <c r="T269">
        <v>82.3</v>
      </c>
      <c r="U269">
        <v>3</v>
      </c>
      <c r="V269">
        <v>0</v>
      </c>
      <c r="W269">
        <v>0</v>
      </c>
      <c r="X269">
        <v>66.7</v>
      </c>
      <c r="Y269">
        <v>12.5</v>
      </c>
      <c r="Z269">
        <v>87.5</v>
      </c>
      <c r="AA269" s="17">
        <f t="shared" si="17"/>
        <v>49877</v>
      </c>
      <c r="AB269">
        <f t="shared" si="18"/>
        <v>50400</v>
      </c>
      <c r="AC269" s="18">
        <f t="shared" si="19"/>
        <v>98</v>
      </c>
      <c r="AD269" s="22">
        <f t="shared" si="20"/>
        <v>98</v>
      </c>
    </row>
    <row r="270" spans="1:30" x14ac:dyDescent="0.25">
      <c r="A270" t="s">
        <v>218</v>
      </c>
      <c r="B270" s="20">
        <v>45017</v>
      </c>
      <c r="C270" t="s">
        <v>180</v>
      </c>
      <c r="D270" s="4">
        <v>31493</v>
      </c>
      <c r="E270" t="s">
        <v>126</v>
      </c>
      <c r="F270">
        <v>3</v>
      </c>
      <c r="G270" t="s">
        <v>60</v>
      </c>
      <c r="H270">
        <v>3</v>
      </c>
      <c r="I270">
        <v>72.2</v>
      </c>
      <c r="J270">
        <v>27.8</v>
      </c>
      <c r="K270">
        <v>33</v>
      </c>
      <c r="L270">
        <v>7</v>
      </c>
      <c r="M270">
        <v>15</v>
      </c>
      <c r="N270">
        <v>5</v>
      </c>
      <c r="O270">
        <v>8</v>
      </c>
      <c r="P270">
        <v>1</v>
      </c>
      <c r="Q270">
        <v>10</v>
      </c>
      <c r="R270">
        <v>1</v>
      </c>
      <c r="S270">
        <v>87.1</v>
      </c>
      <c r="T270">
        <v>66.099999999999994</v>
      </c>
      <c r="U270">
        <v>4</v>
      </c>
      <c r="V270">
        <v>2</v>
      </c>
      <c r="W270">
        <v>66.7</v>
      </c>
      <c r="X270">
        <v>43.8</v>
      </c>
      <c r="Y270">
        <v>61.5</v>
      </c>
      <c r="Z270">
        <v>38.5</v>
      </c>
      <c r="AA270" s="17">
        <f t="shared" si="17"/>
        <v>28493</v>
      </c>
      <c r="AB270">
        <f t="shared" si="18"/>
        <v>28876</v>
      </c>
      <c r="AC270" s="18">
        <f t="shared" si="19"/>
        <v>98</v>
      </c>
      <c r="AD270" s="22">
        <f t="shared" si="20"/>
        <v>98</v>
      </c>
    </row>
    <row r="271" spans="1:30" x14ac:dyDescent="0.25">
      <c r="A271" t="s">
        <v>218</v>
      </c>
      <c r="B271" s="20">
        <v>45017</v>
      </c>
      <c r="C271" t="s">
        <v>172</v>
      </c>
      <c r="D271" s="4">
        <v>60283</v>
      </c>
      <c r="E271" t="s">
        <v>20</v>
      </c>
      <c r="F271">
        <v>4</v>
      </c>
      <c r="G271" t="s">
        <v>27</v>
      </c>
      <c r="H271">
        <v>1</v>
      </c>
      <c r="I271">
        <v>67.099999999999994</v>
      </c>
      <c r="J271">
        <v>32.9</v>
      </c>
      <c r="K271">
        <v>13</v>
      </c>
      <c r="L271">
        <v>7</v>
      </c>
      <c r="M271">
        <v>6</v>
      </c>
      <c r="N271">
        <v>5</v>
      </c>
      <c r="O271">
        <v>2</v>
      </c>
      <c r="P271">
        <v>1</v>
      </c>
      <c r="Q271">
        <v>5</v>
      </c>
      <c r="R271">
        <v>1</v>
      </c>
      <c r="S271">
        <v>85.5</v>
      </c>
      <c r="T271">
        <v>71.7</v>
      </c>
      <c r="U271">
        <v>5</v>
      </c>
      <c r="V271">
        <v>0</v>
      </c>
      <c r="W271">
        <v>60</v>
      </c>
      <c r="X271">
        <v>57.1</v>
      </c>
      <c r="Y271">
        <v>62.5</v>
      </c>
      <c r="Z271">
        <v>37.5</v>
      </c>
      <c r="AA271" s="17">
        <f t="shared" si="17"/>
        <v>57283</v>
      </c>
      <c r="AB271">
        <f t="shared" si="18"/>
        <v>57704</v>
      </c>
      <c r="AC271" s="18">
        <f t="shared" si="19"/>
        <v>99</v>
      </c>
      <c r="AD271" s="22">
        <f t="shared" si="20"/>
        <v>99</v>
      </c>
    </row>
    <row r="272" spans="1:30" x14ac:dyDescent="0.25">
      <c r="A272" t="s">
        <v>218</v>
      </c>
      <c r="B272" s="20">
        <v>45017</v>
      </c>
      <c r="C272" t="s">
        <v>142</v>
      </c>
      <c r="D272" s="4">
        <v>40082</v>
      </c>
      <c r="E272" t="s">
        <v>21</v>
      </c>
      <c r="F272">
        <v>0</v>
      </c>
      <c r="G272" t="s">
        <v>12</v>
      </c>
      <c r="H272">
        <v>2</v>
      </c>
      <c r="I272">
        <v>69</v>
      </c>
      <c r="J272">
        <v>31</v>
      </c>
      <c r="K272">
        <v>27</v>
      </c>
      <c r="L272">
        <v>5</v>
      </c>
      <c r="M272">
        <v>8</v>
      </c>
      <c r="N272">
        <v>2</v>
      </c>
      <c r="O272">
        <v>15</v>
      </c>
      <c r="P272">
        <v>3</v>
      </c>
      <c r="Q272">
        <v>4</v>
      </c>
      <c r="R272">
        <v>0</v>
      </c>
      <c r="S272">
        <v>90.5</v>
      </c>
      <c r="T272">
        <v>75.099999999999994</v>
      </c>
      <c r="U272">
        <v>2</v>
      </c>
      <c r="V272">
        <v>1</v>
      </c>
      <c r="W272">
        <v>72.2</v>
      </c>
      <c r="X272">
        <v>58.3</v>
      </c>
      <c r="Y272">
        <v>45.8</v>
      </c>
      <c r="Z272">
        <v>54.2</v>
      </c>
      <c r="AA272" s="17">
        <f t="shared" si="17"/>
        <v>37082</v>
      </c>
      <c r="AB272">
        <f t="shared" si="18"/>
        <v>37343</v>
      </c>
      <c r="AC272" s="18">
        <f t="shared" si="19"/>
        <v>99</v>
      </c>
      <c r="AD272" s="22">
        <f t="shared" si="20"/>
        <v>99</v>
      </c>
    </row>
    <row r="273" spans="1:30" x14ac:dyDescent="0.25">
      <c r="A273" t="s">
        <v>217</v>
      </c>
      <c r="B273" s="20">
        <v>45018</v>
      </c>
      <c r="C273" t="s">
        <v>184</v>
      </c>
      <c r="D273" s="4">
        <v>62465</v>
      </c>
      <c r="E273" t="s">
        <v>130</v>
      </c>
      <c r="F273">
        <v>1</v>
      </c>
      <c r="G273" t="s">
        <v>28</v>
      </c>
      <c r="H273">
        <v>0</v>
      </c>
      <c r="I273">
        <v>43</v>
      </c>
      <c r="J273">
        <v>57</v>
      </c>
      <c r="K273">
        <v>12</v>
      </c>
      <c r="L273">
        <v>9</v>
      </c>
      <c r="M273">
        <v>2</v>
      </c>
      <c r="N273">
        <v>3</v>
      </c>
      <c r="O273">
        <v>7</v>
      </c>
      <c r="P273">
        <v>4</v>
      </c>
      <c r="Q273">
        <v>3</v>
      </c>
      <c r="R273">
        <v>2</v>
      </c>
      <c r="S273">
        <v>73.400000000000006</v>
      </c>
      <c r="T273">
        <v>83.6</v>
      </c>
      <c r="U273">
        <v>2</v>
      </c>
      <c r="V273">
        <v>0</v>
      </c>
      <c r="W273">
        <v>67.900000000000006</v>
      </c>
      <c r="X273">
        <v>57.7</v>
      </c>
      <c r="Y273">
        <v>38.700000000000003</v>
      </c>
      <c r="Z273">
        <v>61.3</v>
      </c>
      <c r="AA273" s="17">
        <f t="shared" si="17"/>
        <v>59465</v>
      </c>
      <c r="AB273">
        <f t="shared" si="18"/>
        <v>65013</v>
      </c>
      <c r="AC273" s="18">
        <f t="shared" si="19"/>
        <v>91</v>
      </c>
      <c r="AD273" s="22">
        <f t="shared" si="20"/>
        <v>91</v>
      </c>
    </row>
    <row r="274" spans="1:30" x14ac:dyDescent="0.25">
      <c r="A274" t="s">
        <v>217</v>
      </c>
      <c r="B274" s="20">
        <v>45018</v>
      </c>
      <c r="C274" t="s">
        <v>182</v>
      </c>
      <c r="D274" s="4">
        <v>52268</v>
      </c>
      <c r="E274" t="s">
        <v>128</v>
      </c>
      <c r="F274">
        <v>2</v>
      </c>
      <c r="G274" t="s">
        <v>127</v>
      </c>
      <c r="H274">
        <v>0</v>
      </c>
      <c r="I274">
        <v>45.7</v>
      </c>
      <c r="J274">
        <v>54.3</v>
      </c>
      <c r="K274">
        <v>22</v>
      </c>
      <c r="L274">
        <v>6</v>
      </c>
      <c r="M274">
        <v>6</v>
      </c>
      <c r="N274">
        <v>1</v>
      </c>
      <c r="O274">
        <v>9</v>
      </c>
      <c r="P274">
        <v>3</v>
      </c>
      <c r="Q274">
        <v>7</v>
      </c>
      <c r="R274">
        <v>2</v>
      </c>
      <c r="S274">
        <v>77</v>
      </c>
      <c r="T274">
        <v>81.099999999999994</v>
      </c>
      <c r="U274">
        <v>3</v>
      </c>
      <c r="V274">
        <v>0</v>
      </c>
      <c r="W274">
        <v>68.2</v>
      </c>
      <c r="X274">
        <v>66.7</v>
      </c>
      <c r="Y274">
        <v>63.6</v>
      </c>
      <c r="Z274">
        <v>36.4</v>
      </c>
      <c r="AA274" s="17">
        <f t="shared" si="17"/>
        <v>49268</v>
      </c>
      <c r="AB274">
        <f t="shared" si="18"/>
        <v>49350</v>
      </c>
      <c r="AC274" s="18">
        <f t="shared" si="19"/>
        <v>99</v>
      </c>
      <c r="AD274" s="22">
        <f t="shared" si="20"/>
        <v>99</v>
      </c>
    </row>
    <row r="275" spans="1:30" x14ac:dyDescent="0.25">
      <c r="A275" t="s">
        <v>216</v>
      </c>
      <c r="B275" s="20">
        <v>45019</v>
      </c>
      <c r="C275" t="s">
        <v>144</v>
      </c>
      <c r="D275" s="4">
        <v>39294</v>
      </c>
      <c r="E275" t="s">
        <v>23</v>
      </c>
      <c r="F275">
        <v>1</v>
      </c>
      <c r="G275" t="s">
        <v>129</v>
      </c>
      <c r="H275">
        <v>1</v>
      </c>
      <c r="I275">
        <v>39.299999999999997</v>
      </c>
      <c r="J275">
        <v>60.7</v>
      </c>
      <c r="K275">
        <v>15</v>
      </c>
      <c r="L275">
        <v>8</v>
      </c>
      <c r="M275">
        <v>6</v>
      </c>
      <c r="N275">
        <v>2</v>
      </c>
      <c r="O275">
        <v>5</v>
      </c>
      <c r="P275">
        <v>5</v>
      </c>
      <c r="Q275">
        <v>4</v>
      </c>
      <c r="R275">
        <v>1</v>
      </c>
      <c r="S275">
        <v>80.400000000000006</v>
      </c>
      <c r="T275">
        <v>84.2</v>
      </c>
      <c r="U275">
        <v>1</v>
      </c>
      <c r="V275">
        <v>1</v>
      </c>
      <c r="W275">
        <v>65.2</v>
      </c>
      <c r="X275">
        <v>57.1</v>
      </c>
      <c r="Y275">
        <v>46.4</v>
      </c>
      <c r="Z275">
        <v>53.6</v>
      </c>
      <c r="AA275" s="17">
        <f t="shared" si="17"/>
        <v>36294</v>
      </c>
      <c r="AB275">
        <f t="shared" si="18"/>
        <v>36572</v>
      </c>
      <c r="AC275" s="18">
        <f t="shared" si="19"/>
        <v>99</v>
      </c>
      <c r="AD275" s="22">
        <f t="shared" si="20"/>
        <v>99</v>
      </c>
    </row>
    <row r="276" spans="1:30" x14ac:dyDescent="0.25">
      <c r="A276" t="s">
        <v>215</v>
      </c>
      <c r="B276" s="20">
        <v>45020</v>
      </c>
      <c r="C276" t="s">
        <v>188</v>
      </c>
      <c r="D276" s="4">
        <v>10266</v>
      </c>
      <c r="E276" t="s">
        <v>57</v>
      </c>
      <c r="F276">
        <v>0</v>
      </c>
      <c r="G276" t="s">
        <v>126</v>
      </c>
      <c r="H276">
        <v>2</v>
      </c>
      <c r="I276">
        <v>36.700000000000003</v>
      </c>
      <c r="J276">
        <v>63.3</v>
      </c>
      <c r="K276">
        <v>14</v>
      </c>
      <c r="L276">
        <v>16</v>
      </c>
      <c r="M276">
        <v>3</v>
      </c>
      <c r="N276">
        <v>6</v>
      </c>
      <c r="O276">
        <v>6</v>
      </c>
      <c r="P276">
        <v>9</v>
      </c>
      <c r="Q276">
        <v>5</v>
      </c>
      <c r="R276">
        <v>1</v>
      </c>
      <c r="S276">
        <v>78.2</v>
      </c>
      <c r="T276">
        <v>87.1</v>
      </c>
      <c r="U276">
        <v>1</v>
      </c>
      <c r="V276">
        <v>3</v>
      </c>
      <c r="W276">
        <v>44.4</v>
      </c>
      <c r="X276">
        <v>52.9</v>
      </c>
      <c r="Y276">
        <v>46.2</v>
      </c>
      <c r="Z276">
        <v>53.8</v>
      </c>
      <c r="AA276" s="17">
        <f t="shared" si="17"/>
        <v>7266</v>
      </c>
      <c r="AB276">
        <f t="shared" si="18"/>
        <v>9879</v>
      </c>
      <c r="AC276" s="18">
        <f t="shared" si="19"/>
        <v>73</v>
      </c>
      <c r="AD276" s="22">
        <f t="shared" si="20"/>
        <v>73</v>
      </c>
    </row>
    <row r="277" spans="1:30" x14ac:dyDescent="0.25">
      <c r="A277" t="s">
        <v>215</v>
      </c>
      <c r="B277" s="20">
        <v>45020</v>
      </c>
      <c r="C277" t="s">
        <v>175</v>
      </c>
      <c r="D277" s="4">
        <v>36740</v>
      </c>
      <c r="E277" t="s">
        <v>27</v>
      </c>
      <c r="F277">
        <v>2</v>
      </c>
      <c r="G277" t="s">
        <v>123</v>
      </c>
      <c r="H277">
        <v>1</v>
      </c>
      <c r="I277">
        <v>62.4</v>
      </c>
      <c r="J277">
        <v>37.6</v>
      </c>
      <c r="K277">
        <v>21</v>
      </c>
      <c r="L277">
        <v>13</v>
      </c>
      <c r="M277">
        <v>6</v>
      </c>
      <c r="N277">
        <v>1</v>
      </c>
      <c r="O277">
        <v>6</v>
      </c>
      <c r="P277">
        <v>4</v>
      </c>
      <c r="Q277">
        <v>9</v>
      </c>
      <c r="R277">
        <v>8</v>
      </c>
      <c r="S277">
        <v>81.2</v>
      </c>
      <c r="T277">
        <v>66.900000000000006</v>
      </c>
      <c r="U277">
        <v>1</v>
      </c>
      <c r="V277">
        <v>0</v>
      </c>
      <c r="W277">
        <v>60</v>
      </c>
      <c r="X277">
        <v>27.8</v>
      </c>
      <c r="Y277">
        <v>60.5</v>
      </c>
      <c r="Z277">
        <v>39.5</v>
      </c>
      <c r="AA277" s="17">
        <f t="shared" si="17"/>
        <v>33740</v>
      </c>
      <c r="AB277">
        <f t="shared" si="18"/>
        <v>35220</v>
      </c>
      <c r="AC277" s="18">
        <f t="shared" si="19"/>
        <v>95</v>
      </c>
      <c r="AD277" s="22">
        <f t="shared" si="20"/>
        <v>95</v>
      </c>
    </row>
    <row r="278" spans="1:30" x14ac:dyDescent="0.25">
      <c r="A278" t="s">
        <v>215</v>
      </c>
      <c r="B278" s="20">
        <v>45020</v>
      </c>
      <c r="C278" t="s">
        <v>176</v>
      </c>
      <c r="D278" s="4">
        <v>32087</v>
      </c>
      <c r="E278" t="s">
        <v>36</v>
      </c>
      <c r="F278">
        <v>1</v>
      </c>
      <c r="G278" t="s">
        <v>12</v>
      </c>
      <c r="H278">
        <v>2</v>
      </c>
      <c r="I278">
        <v>35.9</v>
      </c>
      <c r="J278">
        <v>64.099999999999994</v>
      </c>
      <c r="K278">
        <v>9</v>
      </c>
      <c r="L278">
        <v>15</v>
      </c>
      <c r="M278">
        <v>4</v>
      </c>
      <c r="N278">
        <v>5</v>
      </c>
      <c r="O278">
        <v>4</v>
      </c>
      <c r="P278">
        <v>5</v>
      </c>
      <c r="Q278">
        <v>1</v>
      </c>
      <c r="R278">
        <v>5</v>
      </c>
      <c r="S278">
        <v>74.5</v>
      </c>
      <c r="T278">
        <v>88.2</v>
      </c>
      <c r="U278">
        <v>2</v>
      </c>
      <c r="V278">
        <v>1</v>
      </c>
      <c r="W278">
        <v>68.400000000000006</v>
      </c>
      <c r="X278">
        <v>42.9</v>
      </c>
      <c r="Y278">
        <v>37.5</v>
      </c>
      <c r="Z278">
        <v>62.5</v>
      </c>
      <c r="AA278" s="17">
        <f t="shared" si="17"/>
        <v>29087</v>
      </c>
      <c r="AB278">
        <f t="shared" si="18"/>
        <v>29261</v>
      </c>
      <c r="AC278" s="18">
        <f t="shared" si="19"/>
        <v>99</v>
      </c>
      <c r="AD278" s="22">
        <f t="shared" si="20"/>
        <v>99</v>
      </c>
    </row>
    <row r="279" spans="1:30" x14ac:dyDescent="0.25">
      <c r="A279" t="s">
        <v>215</v>
      </c>
      <c r="B279" s="20">
        <v>45020</v>
      </c>
      <c r="C279" t="s">
        <v>142</v>
      </c>
      <c r="D279" s="4">
        <v>40093</v>
      </c>
      <c r="E279" t="s">
        <v>21</v>
      </c>
      <c r="F279">
        <v>0</v>
      </c>
      <c r="G279" t="s">
        <v>17</v>
      </c>
      <c r="H279">
        <v>0</v>
      </c>
      <c r="I279">
        <v>49.6</v>
      </c>
      <c r="J279">
        <v>50.4</v>
      </c>
      <c r="K279">
        <v>12</v>
      </c>
      <c r="L279">
        <v>7</v>
      </c>
      <c r="M279">
        <v>3</v>
      </c>
      <c r="N279">
        <v>4</v>
      </c>
      <c r="O279">
        <v>7</v>
      </c>
      <c r="P279">
        <v>0</v>
      </c>
      <c r="Q279">
        <v>2</v>
      </c>
      <c r="R279">
        <v>3</v>
      </c>
      <c r="S279">
        <v>83.7</v>
      </c>
      <c r="T279">
        <v>83.6</v>
      </c>
      <c r="U279">
        <v>3</v>
      </c>
      <c r="V279">
        <v>0</v>
      </c>
      <c r="W279">
        <v>75</v>
      </c>
      <c r="X279">
        <v>53.8</v>
      </c>
      <c r="Y279">
        <v>44.4</v>
      </c>
      <c r="Z279">
        <v>55.6</v>
      </c>
      <c r="AA279" s="17">
        <f t="shared" si="17"/>
        <v>37093</v>
      </c>
      <c r="AB279">
        <f t="shared" si="18"/>
        <v>37343</v>
      </c>
      <c r="AC279" s="18">
        <f t="shared" si="19"/>
        <v>99</v>
      </c>
      <c r="AD279" s="22">
        <f t="shared" si="20"/>
        <v>99</v>
      </c>
    </row>
    <row r="280" spans="1:30" x14ac:dyDescent="0.25">
      <c r="A280" t="s">
        <v>214</v>
      </c>
      <c r="B280" s="20">
        <v>45021</v>
      </c>
      <c r="C280" t="s">
        <v>184</v>
      </c>
      <c r="D280" s="4">
        <v>62470</v>
      </c>
      <c r="E280" t="s">
        <v>130</v>
      </c>
      <c r="F280">
        <v>1</v>
      </c>
      <c r="G280" t="s">
        <v>128</v>
      </c>
      <c r="H280">
        <v>5</v>
      </c>
      <c r="I280">
        <v>42</v>
      </c>
      <c r="J280">
        <v>58</v>
      </c>
      <c r="K280">
        <v>7</v>
      </c>
      <c r="L280">
        <v>15</v>
      </c>
      <c r="M280">
        <v>2</v>
      </c>
      <c r="N280">
        <v>8</v>
      </c>
      <c r="O280">
        <v>3</v>
      </c>
      <c r="P280">
        <v>5</v>
      </c>
      <c r="Q280">
        <v>2</v>
      </c>
      <c r="R280">
        <v>2</v>
      </c>
      <c r="S280">
        <v>73.599999999999994</v>
      </c>
      <c r="T280">
        <v>80.7</v>
      </c>
      <c r="U280">
        <v>1</v>
      </c>
      <c r="V280">
        <v>4</v>
      </c>
      <c r="W280">
        <v>38.5</v>
      </c>
      <c r="X280">
        <v>58.3</v>
      </c>
      <c r="Y280">
        <v>38.700000000000003</v>
      </c>
      <c r="Z280">
        <v>61.3</v>
      </c>
      <c r="AA280" s="17">
        <f t="shared" si="17"/>
        <v>59470</v>
      </c>
      <c r="AB280">
        <f t="shared" si="18"/>
        <v>65013</v>
      </c>
      <c r="AC280" s="18">
        <f t="shared" si="19"/>
        <v>91</v>
      </c>
      <c r="AD280" s="22">
        <f t="shared" si="20"/>
        <v>91</v>
      </c>
    </row>
    <row r="281" spans="1:30" x14ac:dyDescent="0.25">
      <c r="A281" t="s">
        <v>214</v>
      </c>
      <c r="B281" s="20">
        <v>45021</v>
      </c>
      <c r="C281" t="s">
        <v>148</v>
      </c>
      <c r="D281" s="4">
        <v>73309</v>
      </c>
      <c r="E281" t="s">
        <v>127</v>
      </c>
      <c r="F281">
        <v>1</v>
      </c>
      <c r="G281" t="s">
        <v>60</v>
      </c>
      <c r="H281">
        <v>0</v>
      </c>
      <c r="I281">
        <v>64.7</v>
      </c>
      <c r="J281">
        <v>35.299999999999997</v>
      </c>
      <c r="K281">
        <v>18</v>
      </c>
      <c r="L281">
        <v>6</v>
      </c>
      <c r="M281">
        <v>3</v>
      </c>
      <c r="N281">
        <v>1</v>
      </c>
      <c r="O281">
        <v>8</v>
      </c>
      <c r="P281">
        <v>4</v>
      </c>
      <c r="Q281">
        <v>7</v>
      </c>
      <c r="R281">
        <v>1</v>
      </c>
      <c r="S281">
        <v>85.7</v>
      </c>
      <c r="T281">
        <v>76.099999999999994</v>
      </c>
      <c r="U281">
        <v>1</v>
      </c>
      <c r="V281">
        <v>1</v>
      </c>
      <c r="W281">
        <v>73.3</v>
      </c>
      <c r="X281">
        <v>72.2</v>
      </c>
      <c r="Y281">
        <v>57.5</v>
      </c>
      <c r="Z281">
        <v>42.5</v>
      </c>
      <c r="AA281" s="17">
        <f t="shared" si="17"/>
        <v>70309</v>
      </c>
      <c r="AB281">
        <f t="shared" si="18"/>
        <v>71310</v>
      </c>
      <c r="AC281" s="18">
        <f t="shared" si="19"/>
        <v>98</v>
      </c>
      <c r="AD281" s="22">
        <f t="shared" si="20"/>
        <v>98</v>
      </c>
    </row>
    <row r="282" spans="1:30" x14ac:dyDescent="0.25">
      <c r="A282" t="s">
        <v>213</v>
      </c>
      <c r="B282" s="20">
        <v>45024</v>
      </c>
      <c r="C282" t="s">
        <v>145</v>
      </c>
      <c r="D282" s="4">
        <v>24491</v>
      </c>
      <c r="E282" t="s">
        <v>44</v>
      </c>
      <c r="F282">
        <v>0</v>
      </c>
      <c r="G282" t="s">
        <v>130</v>
      </c>
      <c r="H282">
        <v>1</v>
      </c>
      <c r="I282">
        <v>76.599999999999994</v>
      </c>
      <c r="J282">
        <v>23.4</v>
      </c>
      <c r="K282">
        <v>16</v>
      </c>
      <c r="L282">
        <v>9</v>
      </c>
      <c r="M282">
        <v>3</v>
      </c>
      <c r="N282">
        <v>5</v>
      </c>
      <c r="O282">
        <v>2</v>
      </c>
      <c r="P282">
        <v>4</v>
      </c>
      <c r="Q282">
        <v>11</v>
      </c>
      <c r="R282">
        <v>0</v>
      </c>
      <c r="S282">
        <v>88.2</v>
      </c>
      <c r="T282">
        <v>62.2</v>
      </c>
      <c r="U282">
        <v>1</v>
      </c>
      <c r="V282">
        <v>1</v>
      </c>
      <c r="W282">
        <v>52.9</v>
      </c>
      <c r="X282">
        <v>35.299999999999997</v>
      </c>
      <c r="Y282">
        <v>38.5</v>
      </c>
      <c r="Z282">
        <v>61.5</v>
      </c>
      <c r="AA282" s="17">
        <f t="shared" si="17"/>
        <v>21491</v>
      </c>
      <c r="AB282">
        <f t="shared" si="18"/>
        <v>25700</v>
      </c>
      <c r="AC282" s="18">
        <f t="shared" si="19"/>
        <v>83</v>
      </c>
      <c r="AD282" s="22">
        <f t="shared" si="20"/>
        <v>83</v>
      </c>
    </row>
    <row r="283" spans="1:30" x14ac:dyDescent="0.25">
      <c r="A283" t="s">
        <v>213</v>
      </c>
      <c r="B283" s="20">
        <v>45024</v>
      </c>
      <c r="C283" t="s">
        <v>174</v>
      </c>
      <c r="D283" s="4">
        <v>17107</v>
      </c>
      <c r="E283" t="s">
        <v>60</v>
      </c>
      <c r="F283">
        <v>1</v>
      </c>
      <c r="G283" t="s">
        <v>128</v>
      </c>
      <c r="H283">
        <v>2</v>
      </c>
      <c r="I283">
        <v>41</v>
      </c>
      <c r="J283">
        <v>59</v>
      </c>
      <c r="K283">
        <v>12</v>
      </c>
      <c r="L283">
        <v>10</v>
      </c>
      <c r="M283">
        <v>6</v>
      </c>
      <c r="N283">
        <v>4</v>
      </c>
      <c r="O283">
        <v>4</v>
      </c>
      <c r="P283">
        <v>4</v>
      </c>
      <c r="Q283">
        <v>2</v>
      </c>
      <c r="R283">
        <v>2</v>
      </c>
      <c r="S283">
        <v>75.5</v>
      </c>
      <c r="T283">
        <v>82.6</v>
      </c>
      <c r="U283">
        <v>0</v>
      </c>
      <c r="V283">
        <v>1</v>
      </c>
      <c r="W283">
        <v>87.5</v>
      </c>
      <c r="X283">
        <v>52.6</v>
      </c>
      <c r="Y283">
        <v>53.3</v>
      </c>
      <c r="Z283">
        <v>46.7</v>
      </c>
      <c r="AA283" s="17">
        <f t="shared" si="17"/>
        <v>14107</v>
      </c>
      <c r="AB283">
        <f t="shared" si="18"/>
        <v>15250</v>
      </c>
      <c r="AC283" s="18">
        <f t="shared" si="19"/>
        <v>92</v>
      </c>
      <c r="AD283" s="22">
        <f t="shared" si="20"/>
        <v>92</v>
      </c>
    </row>
    <row r="284" spans="1:30" x14ac:dyDescent="0.25">
      <c r="A284" t="s">
        <v>213</v>
      </c>
      <c r="B284" s="20">
        <v>45024</v>
      </c>
      <c r="C284" t="s">
        <v>177</v>
      </c>
      <c r="D284" s="4">
        <v>30963</v>
      </c>
      <c r="E284" t="s">
        <v>28</v>
      </c>
      <c r="F284">
        <v>1</v>
      </c>
      <c r="G284" t="s">
        <v>19</v>
      </c>
      <c r="H284">
        <v>4</v>
      </c>
      <c r="I284">
        <v>27.2</v>
      </c>
      <c r="J284">
        <v>72.8</v>
      </c>
      <c r="K284">
        <v>4</v>
      </c>
      <c r="L284">
        <v>13</v>
      </c>
      <c r="M284">
        <v>1</v>
      </c>
      <c r="N284">
        <v>8</v>
      </c>
      <c r="O284">
        <v>2</v>
      </c>
      <c r="P284">
        <v>2</v>
      </c>
      <c r="Q284">
        <v>1</v>
      </c>
      <c r="R284">
        <v>3</v>
      </c>
      <c r="S284">
        <v>75.3</v>
      </c>
      <c r="T284">
        <v>89.2</v>
      </c>
      <c r="U284">
        <v>1</v>
      </c>
      <c r="V284">
        <v>3</v>
      </c>
      <c r="W284">
        <v>81.8</v>
      </c>
      <c r="X284">
        <v>77.8</v>
      </c>
      <c r="Y284">
        <v>35</v>
      </c>
      <c r="Z284">
        <v>65</v>
      </c>
      <c r="AA284" s="17">
        <f t="shared" si="17"/>
        <v>27963</v>
      </c>
      <c r="AB284">
        <f t="shared" si="18"/>
        <v>29384</v>
      </c>
      <c r="AC284" s="18">
        <f t="shared" si="19"/>
        <v>95</v>
      </c>
      <c r="AD284" s="22">
        <f t="shared" si="20"/>
        <v>95</v>
      </c>
    </row>
    <row r="285" spans="1:30" x14ac:dyDescent="0.25">
      <c r="A285" t="s">
        <v>213</v>
      </c>
      <c r="B285" s="20">
        <v>45024</v>
      </c>
      <c r="C285" t="s">
        <v>187</v>
      </c>
      <c r="D285" s="4">
        <v>61405</v>
      </c>
      <c r="E285" t="s">
        <v>129</v>
      </c>
      <c r="F285">
        <v>2</v>
      </c>
      <c r="G285" t="s">
        <v>126</v>
      </c>
      <c r="H285">
        <v>1</v>
      </c>
      <c r="I285">
        <v>35.200000000000003</v>
      </c>
      <c r="J285">
        <v>64.8</v>
      </c>
      <c r="K285">
        <v>9</v>
      </c>
      <c r="L285">
        <v>17</v>
      </c>
      <c r="M285">
        <v>3</v>
      </c>
      <c r="N285">
        <v>4</v>
      </c>
      <c r="O285">
        <v>4</v>
      </c>
      <c r="P285">
        <v>5</v>
      </c>
      <c r="Q285">
        <v>2</v>
      </c>
      <c r="R285">
        <v>8</v>
      </c>
      <c r="S285">
        <v>77.3</v>
      </c>
      <c r="T285">
        <v>87.1</v>
      </c>
      <c r="U285">
        <v>0</v>
      </c>
      <c r="V285">
        <v>2</v>
      </c>
      <c r="W285">
        <v>58.8</v>
      </c>
      <c r="X285">
        <v>44.4</v>
      </c>
      <c r="Y285">
        <v>33.299999999999997</v>
      </c>
      <c r="Z285">
        <v>66.7</v>
      </c>
      <c r="AA285" s="17">
        <f t="shared" si="17"/>
        <v>58405</v>
      </c>
      <c r="AB285">
        <f t="shared" si="18"/>
        <v>59850</v>
      </c>
      <c r="AC285" s="18">
        <f t="shared" si="19"/>
        <v>97</v>
      </c>
      <c r="AD285" s="22">
        <f t="shared" si="20"/>
        <v>97</v>
      </c>
    </row>
    <row r="286" spans="1:30" x14ac:dyDescent="0.25">
      <c r="A286" t="s">
        <v>213</v>
      </c>
      <c r="B286" s="20">
        <v>45024</v>
      </c>
      <c r="C286" t="s">
        <v>148</v>
      </c>
      <c r="D286" s="4">
        <v>73509</v>
      </c>
      <c r="E286" t="s">
        <v>127</v>
      </c>
      <c r="F286">
        <v>2</v>
      </c>
      <c r="G286" t="s">
        <v>23</v>
      </c>
      <c r="H286">
        <v>0</v>
      </c>
      <c r="I286">
        <v>63.8</v>
      </c>
      <c r="J286">
        <v>36.200000000000003</v>
      </c>
      <c r="K286">
        <v>29</v>
      </c>
      <c r="L286">
        <v>15</v>
      </c>
      <c r="M286">
        <v>11</v>
      </c>
      <c r="N286">
        <v>1</v>
      </c>
      <c r="O286">
        <v>10</v>
      </c>
      <c r="P286">
        <v>6</v>
      </c>
      <c r="Q286">
        <v>8</v>
      </c>
      <c r="R286">
        <v>8</v>
      </c>
      <c r="S286">
        <v>87.1</v>
      </c>
      <c r="T286">
        <v>71.3</v>
      </c>
      <c r="U286">
        <v>5</v>
      </c>
      <c r="V286">
        <v>1</v>
      </c>
      <c r="W286">
        <v>60</v>
      </c>
      <c r="X286">
        <v>66.7</v>
      </c>
      <c r="Y286">
        <v>50</v>
      </c>
      <c r="Z286">
        <v>50</v>
      </c>
      <c r="AA286" s="17">
        <f t="shared" si="17"/>
        <v>70509</v>
      </c>
      <c r="AB286">
        <f t="shared" si="18"/>
        <v>71310</v>
      </c>
      <c r="AC286" s="18">
        <f t="shared" si="19"/>
        <v>98</v>
      </c>
      <c r="AD286" s="22">
        <f t="shared" si="20"/>
        <v>98</v>
      </c>
    </row>
    <row r="287" spans="1:30" x14ac:dyDescent="0.25">
      <c r="A287" t="s">
        <v>213</v>
      </c>
      <c r="B287" s="20">
        <v>45024</v>
      </c>
      <c r="C287" t="s">
        <v>152</v>
      </c>
      <c r="D287" s="4">
        <v>31614</v>
      </c>
      <c r="E287" t="s">
        <v>173</v>
      </c>
      <c r="F287">
        <v>1</v>
      </c>
      <c r="G287" t="s">
        <v>21</v>
      </c>
      <c r="H287">
        <v>0</v>
      </c>
      <c r="I287">
        <v>37.6</v>
      </c>
      <c r="J287">
        <v>62.4</v>
      </c>
      <c r="K287">
        <v>9</v>
      </c>
      <c r="L287">
        <v>13</v>
      </c>
      <c r="M287">
        <v>4</v>
      </c>
      <c r="N287">
        <v>1</v>
      </c>
      <c r="O287">
        <v>3</v>
      </c>
      <c r="P287">
        <v>4</v>
      </c>
      <c r="Q287">
        <v>2</v>
      </c>
      <c r="R287">
        <v>8</v>
      </c>
      <c r="S287">
        <v>74.5</v>
      </c>
      <c r="T287">
        <v>83.6</v>
      </c>
      <c r="U287">
        <v>0</v>
      </c>
      <c r="V287">
        <v>0</v>
      </c>
      <c r="W287">
        <v>59.1</v>
      </c>
      <c r="X287">
        <v>55.6</v>
      </c>
      <c r="Y287">
        <v>36</v>
      </c>
      <c r="Z287">
        <v>64</v>
      </c>
      <c r="AA287" s="17">
        <f t="shared" si="17"/>
        <v>28614</v>
      </c>
      <c r="AB287">
        <f t="shared" si="18"/>
        <v>29050</v>
      </c>
      <c r="AC287" s="18">
        <f t="shared" si="19"/>
        <v>98</v>
      </c>
      <c r="AD287" s="22">
        <f t="shared" si="20"/>
        <v>98</v>
      </c>
    </row>
    <row r="288" spans="1:30" x14ac:dyDescent="0.25">
      <c r="A288" t="s">
        <v>213</v>
      </c>
      <c r="B288" s="20">
        <v>45024</v>
      </c>
      <c r="C288" t="s">
        <v>176</v>
      </c>
      <c r="D288" s="4">
        <v>32094</v>
      </c>
      <c r="E288" t="s">
        <v>36</v>
      </c>
      <c r="F288">
        <v>0</v>
      </c>
      <c r="G288" t="s">
        <v>57</v>
      </c>
      <c r="H288">
        <v>1</v>
      </c>
      <c r="I288">
        <v>50.8</v>
      </c>
      <c r="J288">
        <v>49.2</v>
      </c>
      <c r="K288">
        <v>14</v>
      </c>
      <c r="L288">
        <v>19</v>
      </c>
      <c r="M288">
        <v>4</v>
      </c>
      <c r="N288">
        <v>7</v>
      </c>
      <c r="O288">
        <v>8</v>
      </c>
      <c r="P288">
        <v>2</v>
      </c>
      <c r="Q288">
        <v>2</v>
      </c>
      <c r="R288">
        <v>10</v>
      </c>
      <c r="S288">
        <v>75.400000000000006</v>
      </c>
      <c r="T288">
        <v>78.7</v>
      </c>
      <c r="U288">
        <v>1</v>
      </c>
      <c r="V288">
        <v>1</v>
      </c>
      <c r="W288">
        <v>42.1</v>
      </c>
      <c r="X288">
        <v>62.5</v>
      </c>
      <c r="Y288">
        <v>47.4</v>
      </c>
      <c r="Z288">
        <v>52.6</v>
      </c>
      <c r="AA288" s="17">
        <f t="shared" si="17"/>
        <v>29094</v>
      </c>
      <c r="AB288">
        <f t="shared" si="18"/>
        <v>29261</v>
      </c>
      <c r="AC288" s="18">
        <f t="shared" si="19"/>
        <v>99</v>
      </c>
      <c r="AD288" s="22">
        <f t="shared" si="20"/>
        <v>99</v>
      </c>
    </row>
    <row r="289" spans="1:30" x14ac:dyDescent="0.25">
      <c r="A289" t="s">
        <v>213</v>
      </c>
      <c r="B289" s="20">
        <v>45024</v>
      </c>
      <c r="C289" t="s">
        <v>138</v>
      </c>
      <c r="D289" s="4">
        <v>42076</v>
      </c>
      <c r="E289" t="s">
        <v>12</v>
      </c>
      <c r="F289">
        <v>2</v>
      </c>
      <c r="G289" t="s">
        <v>123</v>
      </c>
      <c r="H289">
        <v>0</v>
      </c>
      <c r="I289">
        <v>65.3</v>
      </c>
      <c r="J289">
        <v>34.700000000000003</v>
      </c>
      <c r="K289">
        <v>8</v>
      </c>
      <c r="L289">
        <v>6</v>
      </c>
      <c r="M289">
        <v>3</v>
      </c>
      <c r="N289">
        <v>2</v>
      </c>
      <c r="O289">
        <v>4</v>
      </c>
      <c r="P289">
        <v>1</v>
      </c>
      <c r="Q289">
        <v>1</v>
      </c>
      <c r="R289">
        <v>3</v>
      </c>
      <c r="S289">
        <v>85.7</v>
      </c>
      <c r="T289">
        <v>65.599999999999994</v>
      </c>
      <c r="U289">
        <v>1</v>
      </c>
      <c r="V289">
        <v>0</v>
      </c>
      <c r="W289">
        <v>66.7</v>
      </c>
      <c r="X289">
        <v>64.7</v>
      </c>
      <c r="Y289">
        <v>44</v>
      </c>
      <c r="Z289">
        <v>56</v>
      </c>
      <c r="AA289" s="17">
        <f t="shared" si="17"/>
        <v>39076</v>
      </c>
      <c r="AB289">
        <f t="shared" si="18"/>
        <v>39000</v>
      </c>
      <c r="AC289" s="18">
        <f t="shared" si="19"/>
        <v>100</v>
      </c>
      <c r="AD289" s="22">
        <f t="shared" si="20"/>
        <v>100</v>
      </c>
    </row>
    <row r="290" spans="1:30" x14ac:dyDescent="0.25">
      <c r="A290" t="s">
        <v>212</v>
      </c>
      <c r="B290" s="20">
        <v>45025</v>
      </c>
      <c r="C290" t="s">
        <v>146</v>
      </c>
      <c r="D290" s="4">
        <v>53267</v>
      </c>
      <c r="E290" t="s">
        <v>17</v>
      </c>
      <c r="F290">
        <v>2</v>
      </c>
      <c r="G290" t="s">
        <v>20</v>
      </c>
      <c r="H290">
        <v>2</v>
      </c>
      <c r="I290">
        <v>59</v>
      </c>
      <c r="J290">
        <v>41</v>
      </c>
      <c r="K290">
        <v>21</v>
      </c>
      <c r="L290">
        <v>9</v>
      </c>
      <c r="M290">
        <v>6</v>
      </c>
      <c r="N290">
        <v>5</v>
      </c>
      <c r="O290">
        <v>10</v>
      </c>
      <c r="P290">
        <v>2</v>
      </c>
      <c r="Q290">
        <v>5</v>
      </c>
      <c r="R290">
        <v>2</v>
      </c>
      <c r="S290">
        <v>82.3</v>
      </c>
      <c r="T290">
        <v>76.599999999999994</v>
      </c>
      <c r="U290">
        <v>6</v>
      </c>
      <c r="V290">
        <v>2</v>
      </c>
      <c r="W290">
        <v>54.5</v>
      </c>
      <c r="X290">
        <v>52.4</v>
      </c>
      <c r="Y290">
        <v>51.9</v>
      </c>
      <c r="Z290">
        <v>48.1</v>
      </c>
      <c r="AA290" s="17">
        <f t="shared" si="17"/>
        <v>50267</v>
      </c>
      <c r="AB290">
        <f t="shared" si="18"/>
        <v>58000</v>
      </c>
      <c r="AC290" s="18">
        <f t="shared" si="19"/>
        <v>86</v>
      </c>
      <c r="AD290" s="22">
        <f t="shared" si="20"/>
        <v>86</v>
      </c>
    </row>
    <row r="291" spans="1:30" x14ac:dyDescent="0.25">
      <c r="A291" t="s">
        <v>212</v>
      </c>
      <c r="B291" s="20">
        <v>45025</v>
      </c>
      <c r="C291" t="s">
        <v>175</v>
      </c>
      <c r="D291" s="4">
        <v>36427</v>
      </c>
      <c r="E291" t="s">
        <v>27</v>
      </c>
      <c r="F291">
        <v>1</v>
      </c>
      <c r="G291" t="s">
        <v>29</v>
      </c>
      <c r="H291">
        <v>5</v>
      </c>
      <c r="I291">
        <v>48</v>
      </c>
      <c r="J291">
        <v>52</v>
      </c>
      <c r="K291">
        <v>11</v>
      </c>
      <c r="L291">
        <v>16</v>
      </c>
      <c r="M291">
        <v>7</v>
      </c>
      <c r="N291">
        <v>8</v>
      </c>
      <c r="O291">
        <v>4</v>
      </c>
      <c r="P291">
        <v>4</v>
      </c>
      <c r="Q291">
        <v>0</v>
      </c>
      <c r="R291">
        <v>4</v>
      </c>
      <c r="S291">
        <v>75.7</v>
      </c>
      <c r="T291">
        <v>74.5</v>
      </c>
      <c r="U291">
        <v>1</v>
      </c>
      <c r="V291">
        <v>5</v>
      </c>
      <c r="W291">
        <v>55.9</v>
      </c>
      <c r="X291">
        <v>72.7</v>
      </c>
      <c r="Y291">
        <v>41</v>
      </c>
      <c r="Z291">
        <v>59</v>
      </c>
      <c r="AA291" s="17">
        <f t="shared" si="17"/>
        <v>33427</v>
      </c>
      <c r="AB291">
        <f t="shared" si="18"/>
        <v>35220</v>
      </c>
      <c r="AC291" s="18">
        <f t="shared" si="19"/>
        <v>94</v>
      </c>
      <c r="AD291" s="22">
        <f t="shared" si="20"/>
        <v>94</v>
      </c>
    </row>
    <row r="292" spans="1:30" x14ac:dyDescent="0.25">
      <c r="A292" t="s">
        <v>211</v>
      </c>
      <c r="B292" s="20">
        <v>45031</v>
      </c>
      <c r="C292" t="s">
        <v>177</v>
      </c>
      <c r="D292" s="4">
        <v>30309</v>
      </c>
      <c r="E292" t="s">
        <v>28</v>
      </c>
      <c r="F292">
        <v>0</v>
      </c>
      <c r="G292" t="s">
        <v>29</v>
      </c>
      <c r="H292">
        <v>2</v>
      </c>
      <c r="I292">
        <v>58.2</v>
      </c>
      <c r="J292">
        <v>41.8</v>
      </c>
      <c r="K292">
        <v>11</v>
      </c>
      <c r="L292">
        <v>10</v>
      </c>
      <c r="M292">
        <v>4</v>
      </c>
      <c r="N292">
        <v>2</v>
      </c>
      <c r="O292">
        <v>4</v>
      </c>
      <c r="P292">
        <v>4</v>
      </c>
      <c r="Q292">
        <v>3</v>
      </c>
      <c r="R292">
        <v>4</v>
      </c>
      <c r="S292">
        <v>84.2</v>
      </c>
      <c r="T292">
        <v>75.7</v>
      </c>
      <c r="U292">
        <v>1</v>
      </c>
      <c r="V292">
        <v>0</v>
      </c>
      <c r="W292">
        <v>46.7</v>
      </c>
      <c r="X292">
        <v>77.3</v>
      </c>
      <c r="Y292">
        <v>58.8</v>
      </c>
      <c r="Z292">
        <v>41.2</v>
      </c>
      <c r="AA292" s="17">
        <f t="shared" si="17"/>
        <v>27309</v>
      </c>
      <c r="AB292">
        <f t="shared" si="18"/>
        <v>29384</v>
      </c>
      <c r="AC292" s="18">
        <f t="shared" si="19"/>
        <v>92</v>
      </c>
      <c r="AD292" s="22">
        <f t="shared" si="20"/>
        <v>92</v>
      </c>
    </row>
    <row r="293" spans="1:30" x14ac:dyDescent="0.25">
      <c r="A293" t="s">
        <v>211</v>
      </c>
      <c r="B293" s="20">
        <v>45031</v>
      </c>
      <c r="C293" t="s">
        <v>152</v>
      </c>
      <c r="D293" s="4">
        <v>30769</v>
      </c>
      <c r="E293" t="s">
        <v>173</v>
      </c>
      <c r="F293">
        <v>2</v>
      </c>
      <c r="G293" t="s">
        <v>60</v>
      </c>
      <c r="H293">
        <v>0</v>
      </c>
      <c r="I293">
        <v>50.6</v>
      </c>
      <c r="J293">
        <v>49.4</v>
      </c>
      <c r="K293">
        <v>11</v>
      </c>
      <c r="L293">
        <v>10</v>
      </c>
      <c r="M293">
        <v>9</v>
      </c>
      <c r="N293">
        <v>3</v>
      </c>
      <c r="O293">
        <v>0</v>
      </c>
      <c r="P293">
        <v>3</v>
      </c>
      <c r="Q293">
        <v>2</v>
      </c>
      <c r="R293">
        <v>4</v>
      </c>
      <c r="S293">
        <v>79.5</v>
      </c>
      <c r="T293">
        <v>80.7</v>
      </c>
      <c r="U293">
        <v>0</v>
      </c>
      <c r="V293">
        <v>0</v>
      </c>
      <c r="W293">
        <v>52.4</v>
      </c>
      <c r="X293">
        <v>47.8</v>
      </c>
      <c r="Y293">
        <v>35.5</v>
      </c>
      <c r="Z293">
        <v>64.5</v>
      </c>
      <c r="AA293" s="17">
        <f t="shared" si="17"/>
        <v>27769</v>
      </c>
      <c r="AB293">
        <f t="shared" si="18"/>
        <v>29050</v>
      </c>
      <c r="AC293" s="18">
        <f t="shared" si="19"/>
        <v>95</v>
      </c>
      <c r="AD293" s="22">
        <f t="shared" si="20"/>
        <v>95</v>
      </c>
    </row>
    <row r="294" spans="1:30" x14ac:dyDescent="0.25">
      <c r="A294" t="s">
        <v>211</v>
      </c>
      <c r="B294" s="20">
        <v>45031</v>
      </c>
      <c r="C294" t="s">
        <v>187</v>
      </c>
      <c r="D294" s="4">
        <v>61369</v>
      </c>
      <c r="E294" t="s">
        <v>129</v>
      </c>
      <c r="F294">
        <v>2</v>
      </c>
      <c r="G294" t="s">
        <v>57</v>
      </c>
      <c r="H294">
        <v>3</v>
      </c>
      <c r="I294">
        <v>57.4</v>
      </c>
      <c r="J294">
        <v>42.6</v>
      </c>
      <c r="K294">
        <v>24</v>
      </c>
      <c r="L294">
        <v>9</v>
      </c>
      <c r="M294">
        <v>8</v>
      </c>
      <c r="N294">
        <v>6</v>
      </c>
      <c r="O294">
        <v>8</v>
      </c>
      <c r="P294">
        <v>2</v>
      </c>
      <c r="Q294">
        <v>8</v>
      </c>
      <c r="R294">
        <v>1</v>
      </c>
      <c r="S294">
        <v>81.400000000000006</v>
      </c>
      <c r="T294">
        <v>76.3</v>
      </c>
      <c r="U294">
        <v>3</v>
      </c>
      <c r="V294">
        <v>2</v>
      </c>
      <c r="W294">
        <v>64.7</v>
      </c>
      <c r="X294">
        <v>70.599999999999994</v>
      </c>
      <c r="Y294">
        <v>67.7</v>
      </c>
      <c r="Z294">
        <v>32.299999999999997</v>
      </c>
      <c r="AA294" s="17">
        <f t="shared" si="17"/>
        <v>58369</v>
      </c>
      <c r="AB294">
        <f t="shared" si="18"/>
        <v>59850</v>
      </c>
      <c r="AC294" s="18">
        <f t="shared" si="19"/>
        <v>97</v>
      </c>
      <c r="AD294" s="22">
        <f t="shared" si="20"/>
        <v>97</v>
      </c>
    </row>
    <row r="295" spans="1:30" x14ac:dyDescent="0.25">
      <c r="A295" t="s">
        <v>211</v>
      </c>
      <c r="B295" s="20">
        <v>45031</v>
      </c>
      <c r="C295" t="s">
        <v>142</v>
      </c>
      <c r="D295" s="4">
        <v>40126</v>
      </c>
      <c r="E295" t="s">
        <v>21</v>
      </c>
      <c r="F295">
        <v>1</v>
      </c>
      <c r="G295" t="s">
        <v>126</v>
      </c>
      <c r="H295">
        <v>2</v>
      </c>
      <c r="I295">
        <v>42.6</v>
      </c>
      <c r="J295">
        <v>57.4</v>
      </c>
      <c r="K295">
        <v>8</v>
      </c>
      <c r="L295">
        <v>26</v>
      </c>
      <c r="M295">
        <v>2</v>
      </c>
      <c r="N295">
        <v>10</v>
      </c>
      <c r="O295">
        <v>5</v>
      </c>
      <c r="P295">
        <v>10</v>
      </c>
      <c r="Q295">
        <v>1</v>
      </c>
      <c r="R295">
        <v>6</v>
      </c>
      <c r="S295">
        <v>81.400000000000006</v>
      </c>
      <c r="T295">
        <v>85.6</v>
      </c>
      <c r="U295">
        <v>0</v>
      </c>
      <c r="V295">
        <v>1</v>
      </c>
      <c r="W295">
        <v>72.2</v>
      </c>
      <c r="X295">
        <v>54.2</v>
      </c>
      <c r="Y295">
        <v>52.9</v>
      </c>
      <c r="Z295">
        <v>47.1</v>
      </c>
      <c r="AA295" s="17">
        <f t="shared" si="17"/>
        <v>37126</v>
      </c>
      <c r="AB295">
        <f t="shared" si="18"/>
        <v>37343</v>
      </c>
      <c r="AC295" s="18">
        <f t="shared" si="19"/>
        <v>99</v>
      </c>
      <c r="AD295" s="22">
        <f t="shared" si="20"/>
        <v>99</v>
      </c>
    </row>
    <row r="296" spans="1:30" x14ac:dyDescent="0.25">
      <c r="A296" t="s">
        <v>211</v>
      </c>
      <c r="B296" s="20">
        <v>45031</v>
      </c>
      <c r="C296" t="s">
        <v>144</v>
      </c>
      <c r="D296" s="4">
        <v>39241</v>
      </c>
      <c r="E296" t="s">
        <v>23</v>
      </c>
      <c r="F296">
        <v>1</v>
      </c>
      <c r="G296" t="s">
        <v>44</v>
      </c>
      <c r="H296">
        <v>3</v>
      </c>
      <c r="I296">
        <v>46.5</v>
      </c>
      <c r="J296">
        <v>53.5</v>
      </c>
      <c r="K296">
        <v>15</v>
      </c>
      <c r="L296">
        <v>21</v>
      </c>
      <c r="M296">
        <v>7</v>
      </c>
      <c r="N296">
        <v>7</v>
      </c>
      <c r="O296">
        <v>6</v>
      </c>
      <c r="P296">
        <v>9</v>
      </c>
      <c r="Q296">
        <v>2</v>
      </c>
      <c r="R296">
        <v>5</v>
      </c>
      <c r="S296">
        <v>74</v>
      </c>
      <c r="T296">
        <v>75.2</v>
      </c>
      <c r="U296">
        <v>3</v>
      </c>
      <c r="V296">
        <v>2</v>
      </c>
      <c r="W296">
        <v>71.400000000000006</v>
      </c>
      <c r="X296">
        <v>64.7</v>
      </c>
      <c r="Y296">
        <v>50</v>
      </c>
      <c r="Z296">
        <v>50</v>
      </c>
      <c r="AA296" s="17">
        <f t="shared" si="17"/>
        <v>36241</v>
      </c>
      <c r="AB296">
        <f t="shared" si="18"/>
        <v>36572</v>
      </c>
      <c r="AC296" s="18">
        <f t="shared" si="19"/>
        <v>99</v>
      </c>
      <c r="AD296" s="22">
        <f t="shared" si="20"/>
        <v>99</v>
      </c>
    </row>
    <row r="297" spans="1:30" x14ac:dyDescent="0.25">
      <c r="A297" t="s">
        <v>211</v>
      </c>
      <c r="B297" s="20">
        <v>45031</v>
      </c>
      <c r="C297" t="s">
        <v>185</v>
      </c>
      <c r="D297" s="4">
        <v>53329</v>
      </c>
      <c r="E297" t="s">
        <v>19</v>
      </c>
      <c r="F297">
        <v>3</v>
      </c>
      <c r="G297" t="s">
        <v>36</v>
      </c>
      <c r="H297">
        <v>1</v>
      </c>
      <c r="I297">
        <v>70.599999999999994</v>
      </c>
      <c r="J297">
        <v>29.4</v>
      </c>
      <c r="K297">
        <v>12</v>
      </c>
      <c r="L297">
        <v>11</v>
      </c>
      <c r="M297">
        <v>4</v>
      </c>
      <c r="N297">
        <v>4</v>
      </c>
      <c r="O297">
        <v>5</v>
      </c>
      <c r="P297">
        <v>4</v>
      </c>
      <c r="Q297">
        <v>3</v>
      </c>
      <c r="R297">
        <v>3</v>
      </c>
      <c r="S297">
        <v>92.2</v>
      </c>
      <c r="T297">
        <v>80.099999999999994</v>
      </c>
      <c r="U297">
        <v>1</v>
      </c>
      <c r="V297">
        <v>1</v>
      </c>
      <c r="W297">
        <v>54.5</v>
      </c>
      <c r="X297">
        <v>70</v>
      </c>
      <c r="Y297">
        <v>31.8</v>
      </c>
      <c r="Z297">
        <v>68.2</v>
      </c>
      <c r="AA297" s="17">
        <f t="shared" si="17"/>
        <v>50329</v>
      </c>
      <c r="AB297">
        <f t="shared" si="18"/>
        <v>50400</v>
      </c>
      <c r="AC297" s="18">
        <f t="shared" si="19"/>
        <v>99</v>
      </c>
      <c r="AD297" s="22">
        <f t="shared" si="20"/>
        <v>99</v>
      </c>
    </row>
    <row r="298" spans="1:30" x14ac:dyDescent="0.25">
      <c r="A298" t="s">
        <v>211</v>
      </c>
      <c r="B298" s="20">
        <v>45031</v>
      </c>
      <c r="C298" t="s">
        <v>138</v>
      </c>
      <c r="D298" s="4">
        <v>42055</v>
      </c>
      <c r="E298" t="s">
        <v>12</v>
      </c>
      <c r="F298">
        <v>3</v>
      </c>
      <c r="G298" t="s">
        <v>128</v>
      </c>
      <c r="H298">
        <v>0</v>
      </c>
      <c r="I298">
        <v>52</v>
      </c>
      <c r="J298">
        <v>48</v>
      </c>
      <c r="K298">
        <v>16</v>
      </c>
      <c r="L298">
        <v>8</v>
      </c>
      <c r="M298">
        <v>6</v>
      </c>
      <c r="N298">
        <v>2</v>
      </c>
      <c r="O298">
        <v>6</v>
      </c>
      <c r="P298">
        <v>3</v>
      </c>
      <c r="Q298">
        <v>4</v>
      </c>
      <c r="R298">
        <v>3</v>
      </c>
      <c r="S298">
        <v>78.2</v>
      </c>
      <c r="T298">
        <v>78.2</v>
      </c>
      <c r="U298">
        <v>3</v>
      </c>
      <c r="V298">
        <v>1</v>
      </c>
      <c r="W298">
        <v>61.1</v>
      </c>
      <c r="X298">
        <v>61.1</v>
      </c>
      <c r="Y298">
        <v>42.1</v>
      </c>
      <c r="Z298">
        <v>57.9</v>
      </c>
      <c r="AA298" s="17">
        <f t="shared" si="17"/>
        <v>39055</v>
      </c>
      <c r="AB298">
        <f t="shared" si="18"/>
        <v>39000</v>
      </c>
      <c r="AC298" s="18">
        <f t="shared" si="19"/>
        <v>100</v>
      </c>
      <c r="AD298" s="22">
        <f t="shared" si="20"/>
        <v>100</v>
      </c>
    </row>
    <row r="299" spans="1:30" x14ac:dyDescent="0.25">
      <c r="A299" t="s">
        <v>210</v>
      </c>
      <c r="B299" s="20">
        <v>45032</v>
      </c>
      <c r="C299" t="s">
        <v>184</v>
      </c>
      <c r="D299" s="4">
        <v>62475</v>
      </c>
      <c r="E299" t="s">
        <v>130</v>
      </c>
      <c r="F299">
        <v>2</v>
      </c>
      <c r="G299" t="s">
        <v>20</v>
      </c>
      <c r="H299">
        <v>2</v>
      </c>
      <c r="I299">
        <v>28.5</v>
      </c>
      <c r="J299">
        <v>71.5</v>
      </c>
      <c r="K299">
        <v>16</v>
      </c>
      <c r="L299">
        <v>11</v>
      </c>
      <c r="M299">
        <v>3</v>
      </c>
      <c r="N299">
        <v>5</v>
      </c>
      <c r="O299">
        <v>6</v>
      </c>
      <c r="P299">
        <v>4</v>
      </c>
      <c r="Q299">
        <v>7</v>
      </c>
      <c r="R299">
        <v>2</v>
      </c>
      <c r="S299">
        <v>69</v>
      </c>
      <c r="T299">
        <v>87</v>
      </c>
      <c r="U299">
        <v>2</v>
      </c>
      <c r="V299">
        <v>2</v>
      </c>
      <c r="W299">
        <v>47.1</v>
      </c>
      <c r="X299">
        <v>69.2</v>
      </c>
      <c r="Y299">
        <v>54.8</v>
      </c>
      <c r="Z299">
        <v>45.2</v>
      </c>
      <c r="AA299" s="17">
        <f t="shared" si="17"/>
        <v>59475</v>
      </c>
      <c r="AB299">
        <f t="shared" si="18"/>
        <v>65013</v>
      </c>
      <c r="AC299" s="18">
        <f t="shared" si="19"/>
        <v>91</v>
      </c>
      <c r="AD299" s="22">
        <f t="shared" si="20"/>
        <v>91</v>
      </c>
    </row>
    <row r="300" spans="1:30" x14ac:dyDescent="0.25">
      <c r="A300" t="s">
        <v>210</v>
      </c>
      <c r="B300" s="20">
        <v>45032</v>
      </c>
      <c r="C300" t="s">
        <v>189</v>
      </c>
      <c r="D300" s="4">
        <v>29435</v>
      </c>
      <c r="E300" t="s">
        <v>123</v>
      </c>
      <c r="F300">
        <v>0</v>
      </c>
      <c r="G300" t="s">
        <v>127</v>
      </c>
      <c r="H300">
        <v>2</v>
      </c>
      <c r="I300">
        <v>31.8</v>
      </c>
      <c r="J300">
        <v>68.2</v>
      </c>
      <c r="K300">
        <v>6</v>
      </c>
      <c r="L300">
        <v>22</v>
      </c>
      <c r="M300">
        <v>0</v>
      </c>
      <c r="N300">
        <v>8</v>
      </c>
      <c r="O300">
        <v>4</v>
      </c>
      <c r="P300">
        <v>9</v>
      </c>
      <c r="Q300">
        <v>2</v>
      </c>
      <c r="R300">
        <v>5</v>
      </c>
      <c r="S300">
        <v>65.099999999999994</v>
      </c>
      <c r="T300">
        <v>82.9</v>
      </c>
      <c r="U300">
        <v>2</v>
      </c>
      <c r="V300">
        <v>4</v>
      </c>
      <c r="W300">
        <v>55</v>
      </c>
      <c r="X300">
        <v>83.3</v>
      </c>
      <c r="Y300">
        <v>46.4</v>
      </c>
      <c r="Z300">
        <v>53.6</v>
      </c>
      <c r="AA300" s="17">
        <f t="shared" si="17"/>
        <v>26435</v>
      </c>
      <c r="AB300">
        <f t="shared" si="18"/>
        <v>27445</v>
      </c>
      <c r="AC300" s="18">
        <f t="shared" si="19"/>
        <v>96</v>
      </c>
      <c r="AD300" s="22">
        <f t="shared" si="20"/>
        <v>96</v>
      </c>
    </row>
    <row r="301" spans="1:30" x14ac:dyDescent="0.25">
      <c r="A301" t="s">
        <v>209</v>
      </c>
      <c r="B301" s="20">
        <v>45033</v>
      </c>
      <c r="C301" t="s">
        <v>175</v>
      </c>
      <c r="D301" s="4">
        <v>36657</v>
      </c>
      <c r="E301" t="s">
        <v>27</v>
      </c>
      <c r="F301">
        <v>1</v>
      </c>
      <c r="G301" t="s">
        <v>17</v>
      </c>
      <c r="H301">
        <v>6</v>
      </c>
      <c r="I301">
        <v>26.4</v>
      </c>
      <c r="J301">
        <v>73.599999999999994</v>
      </c>
      <c r="K301">
        <v>13</v>
      </c>
      <c r="L301">
        <v>13</v>
      </c>
      <c r="M301">
        <v>3</v>
      </c>
      <c r="N301">
        <v>7</v>
      </c>
      <c r="O301">
        <v>7</v>
      </c>
      <c r="P301">
        <v>4</v>
      </c>
      <c r="Q301">
        <v>3</v>
      </c>
      <c r="R301">
        <v>2</v>
      </c>
      <c r="S301">
        <v>68.900000000000006</v>
      </c>
      <c r="T301">
        <v>89.1</v>
      </c>
      <c r="U301">
        <v>1</v>
      </c>
      <c r="V301">
        <v>4</v>
      </c>
      <c r="W301">
        <v>53.8</v>
      </c>
      <c r="X301">
        <v>47.6</v>
      </c>
      <c r="Y301">
        <v>52.6</v>
      </c>
      <c r="Z301">
        <v>47.4</v>
      </c>
      <c r="AA301" s="17">
        <f t="shared" si="17"/>
        <v>33657</v>
      </c>
      <c r="AB301">
        <f t="shared" si="18"/>
        <v>35220</v>
      </c>
      <c r="AC301" s="18">
        <f t="shared" si="19"/>
        <v>95</v>
      </c>
      <c r="AD301" s="22">
        <f t="shared" si="20"/>
        <v>95</v>
      </c>
    </row>
    <row r="302" spans="1:30" x14ac:dyDescent="0.25">
      <c r="A302" t="s">
        <v>208</v>
      </c>
      <c r="B302" s="20">
        <v>45037</v>
      </c>
      <c r="C302" t="s">
        <v>172</v>
      </c>
      <c r="D302" s="4">
        <v>60175</v>
      </c>
      <c r="E302" t="s">
        <v>20</v>
      </c>
      <c r="F302">
        <v>3</v>
      </c>
      <c r="G302" t="s">
        <v>28</v>
      </c>
      <c r="H302">
        <v>3</v>
      </c>
      <c r="I302">
        <v>74.2</v>
      </c>
      <c r="J302">
        <v>25.8</v>
      </c>
      <c r="K302">
        <v>25</v>
      </c>
      <c r="L302">
        <v>8</v>
      </c>
      <c r="M302">
        <v>6</v>
      </c>
      <c r="N302">
        <v>6</v>
      </c>
      <c r="O302">
        <v>11</v>
      </c>
      <c r="P302">
        <v>1</v>
      </c>
      <c r="Q302">
        <v>8</v>
      </c>
      <c r="R302">
        <v>1</v>
      </c>
      <c r="S302">
        <v>86.1</v>
      </c>
      <c r="T302">
        <v>64.599999999999994</v>
      </c>
      <c r="U302">
        <v>2</v>
      </c>
      <c r="V302">
        <v>2</v>
      </c>
      <c r="W302">
        <v>58.8</v>
      </c>
      <c r="X302">
        <v>68.2</v>
      </c>
      <c r="Y302">
        <v>57.7</v>
      </c>
      <c r="Z302">
        <v>42.3</v>
      </c>
      <c r="AA302" s="17">
        <f t="shared" si="17"/>
        <v>57175</v>
      </c>
      <c r="AB302">
        <f t="shared" si="18"/>
        <v>57704</v>
      </c>
      <c r="AC302" s="18">
        <f t="shared" si="19"/>
        <v>99</v>
      </c>
      <c r="AD302" s="22">
        <f t="shared" si="20"/>
        <v>99</v>
      </c>
    </row>
    <row r="303" spans="1:30" x14ac:dyDescent="0.25">
      <c r="A303" t="s">
        <v>207</v>
      </c>
      <c r="B303" s="20">
        <v>45038</v>
      </c>
      <c r="C303" t="s">
        <v>145</v>
      </c>
      <c r="D303" s="4">
        <v>24356</v>
      </c>
      <c r="E303" t="s">
        <v>44</v>
      </c>
      <c r="F303">
        <v>2</v>
      </c>
      <c r="G303" t="s">
        <v>27</v>
      </c>
      <c r="H303">
        <v>1</v>
      </c>
      <c r="I303">
        <v>49.3</v>
      </c>
      <c r="J303">
        <v>50.7</v>
      </c>
      <c r="K303">
        <v>12</v>
      </c>
      <c r="L303">
        <v>10</v>
      </c>
      <c r="M303">
        <v>5</v>
      </c>
      <c r="N303">
        <v>2</v>
      </c>
      <c r="O303">
        <v>3</v>
      </c>
      <c r="P303">
        <v>4</v>
      </c>
      <c r="Q303">
        <v>4</v>
      </c>
      <c r="R303">
        <v>4</v>
      </c>
      <c r="S303">
        <v>74.900000000000006</v>
      </c>
      <c r="T303">
        <v>72.400000000000006</v>
      </c>
      <c r="U303">
        <v>0</v>
      </c>
      <c r="V303">
        <v>0</v>
      </c>
      <c r="W303">
        <v>57.9</v>
      </c>
      <c r="X303">
        <v>50</v>
      </c>
      <c r="Y303">
        <v>42.1</v>
      </c>
      <c r="Z303">
        <v>57.9</v>
      </c>
      <c r="AA303" s="17">
        <f t="shared" si="17"/>
        <v>21356</v>
      </c>
      <c r="AB303">
        <f t="shared" si="18"/>
        <v>25700</v>
      </c>
      <c r="AC303" s="18">
        <f t="shared" si="19"/>
        <v>83</v>
      </c>
      <c r="AD303" s="22">
        <f t="shared" si="20"/>
        <v>83</v>
      </c>
    </row>
    <row r="304" spans="1:30" x14ac:dyDescent="0.25">
      <c r="A304" t="s">
        <v>207</v>
      </c>
      <c r="B304" s="20">
        <v>45038</v>
      </c>
      <c r="C304" t="s">
        <v>174</v>
      </c>
      <c r="D304" s="4">
        <v>17098</v>
      </c>
      <c r="E304" t="s">
        <v>60</v>
      </c>
      <c r="F304">
        <v>1</v>
      </c>
      <c r="G304" t="s">
        <v>12</v>
      </c>
      <c r="H304">
        <v>1</v>
      </c>
      <c r="I304">
        <v>42.5</v>
      </c>
      <c r="J304">
        <v>57.5</v>
      </c>
      <c r="K304">
        <v>16</v>
      </c>
      <c r="L304">
        <v>14</v>
      </c>
      <c r="M304">
        <v>5</v>
      </c>
      <c r="N304">
        <v>2</v>
      </c>
      <c r="O304">
        <v>6</v>
      </c>
      <c r="P304">
        <v>11</v>
      </c>
      <c r="Q304">
        <v>5</v>
      </c>
      <c r="R304">
        <v>1</v>
      </c>
      <c r="S304">
        <v>68.2</v>
      </c>
      <c r="T304">
        <v>78.900000000000006</v>
      </c>
      <c r="U304">
        <v>3</v>
      </c>
      <c r="V304">
        <v>3</v>
      </c>
      <c r="W304">
        <v>37.5</v>
      </c>
      <c r="X304">
        <v>33.299999999999997</v>
      </c>
      <c r="Y304">
        <v>58.1</v>
      </c>
      <c r="Z304">
        <v>41.9</v>
      </c>
      <c r="AA304" s="17">
        <f t="shared" si="17"/>
        <v>14098</v>
      </c>
      <c r="AB304">
        <f t="shared" si="18"/>
        <v>15250</v>
      </c>
      <c r="AC304" s="18">
        <f t="shared" si="19"/>
        <v>92</v>
      </c>
      <c r="AD304" s="22">
        <f t="shared" si="20"/>
        <v>92</v>
      </c>
    </row>
    <row r="305" spans="1:30" x14ac:dyDescent="0.25">
      <c r="A305" t="s">
        <v>207</v>
      </c>
      <c r="B305" s="20">
        <v>45038</v>
      </c>
      <c r="C305" t="s">
        <v>143</v>
      </c>
      <c r="D305" s="4">
        <v>25202</v>
      </c>
      <c r="E305" t="s">
        <v>29</v>
      </c>
      <c r="F305">
        <v>0</v>
      </c>
      <c r="G305" t="s">
        <v>23</v>
      </c>
      <c r="H305">
        <v>0</v>
      </c>
      <c r="I305">
        <v>56.9</v>
      </c>
      <c r="J305">
        <v>43.1</v>
      </c>
      <c r="K305">
        <v>12</v>
      </c>
      <c r="L305">
        <v>10</v>
      </c>
      <c r="M305">
        <v>2</v>
      </c>
      <c r="N305">
        <v>5</v>
      </c>
      <c r="O305">
        <v>5</v>
      </c>
      <c r="P305">
        <v>3</v>
      </c>
      <c r="Q305">
        <v>5</v>
      </c>
      <c r="R305">
        <v>2</v>
      </c>
      <c r="S305">
        <v>74.599999999999994</v>
      </c>
      <c r="T305">
        <v>67.3</v>
      </c>
      <c r="U305">
        <v>0</v>
      </c>
      <c r="V305">
        <v>0</v>
      </c>
      <c r="W305">
        <v>73.3</v>
      </c>
      <c r="X305">
        <v>64.3</v>
      </c>
      <c r="Y305">
        <v>41.9</v>
      </c>
      <c r="Z305">
        <v>58.1</v>
      </c>
      <c r="AA305" s="17">
        <f t="shared" si="17"/>
        <v>22202</v>
      </c>
      <c r="AB305">
        <f t="shared" si="18"/>
        <v>23486</v>
      </c>
      <c r="AC305" s="18">
        <f t="shared" si="19"/>
        <v>94</v>
      </c>
      <c r="AD305" s="22">
        <f t="shared" si="20"/>
        <v>94</v>
      </c>
    </row>
    <row r="306" spans="1:30" x14ac:dyDescent="0.25">
      <c r="A306" t="s">
        <v>207</v>
      </c>
      <c r="B306" s="20">
        <v>45038</v>
      </c>
      <c r="C306" t="s">
        <v>176</v>
      </c>
      <c r="D306" s="4">
        <v>32053</v>
      </c>
      <c r="E306" t="s">
        <v>36</v>
      </c>
      <c r="F306">
        <v>2</v>
      </c>
      <c r="G306" t="s">
        <v>173</v>
      </c>
      <c r="H306">
        <v>1</v>
      </c>
      <c r="I306">
        <v>41.8</v>
      </c>
      <c r="J306">
        <v>58.2</v>
      </c>
      <c r="K306">
        <v>15</v>
      </c>
      <c r="L306">
        <v>16</v>
      </c>
      <c r="M306">
        <v>8</v>
      </c>
      <c r="N306">
        <v>3</v>
      </c>
      <c r="O306">
        <v>4</v>
      </c>
      <c r="P306">
        <v>7</v>
      </c>
      <c r="Q306">
        <v>3</v>
      </c>
      <c r="R306">
        <v>6</v>
      </c>
      <c r="S306">
        <v>74.2</v>
      </c>
      <c r="T306">
        <v>81.7</v>
      </c>
      <c r="U306">
        <v>1</v>
      </c>
      <c r="V306">
        <v>0</v>
      </c>
      <c r="W306">
        <v>54.5</v>
      </c>
      <c r="X306">
        <v>66.7</v>
      </c>
      <c r="Y306">
        <v>55.3</v>
      </c>
      <c r="Z306">
        <v>44.7</v>
      </c>
      <c r="AA306" s="17">
        <f t="shared" si="17"/>
        <v>29053</v>
      </c>
      <c r="AB306">
        <f t="shared" si="18"/>
        <v>29261</v>
      </c>
      <c r="AC306" s="18">
        <f t="shared" si="19"/>
        <v>99</v>
      </c>
      <c r="AD306" s="22">
        <f t="shared" si="20"/>
        <v>99</v>
      </c>
    </row>
    <row r="307" spans="1:30" x14ac:dyDescent="0.25">
      <c r="A307" t="s">
        <v>206</v>
      </c>
      <c r="B307" s="20">
        <v>45039</v>
      </c>
      <c r="C307" t="s">
        <v>188</v>
      </c>
      <c r="D307" s="4">
        <v>10465</v>
      </c>
      <c r="E307" t="s">
        <v>57</v>
      </c>
      <c r="F307">
        <v>0</v>
      </c>
      <c r="G307" t="s">
        <v>130</v>
      </c>
      <c r="H307">
        <v>4</v>
      </c>
      <c r="I307">
        <v>64.599999999999994</v>
      </c>
      <c r="J307">
        <v>35.4</v>
      </c>
      <c r="K307">
        <v>17</v>
      </c>
      <c r="L307">
        <v>18</v>
      </c>
      <c r="M307">
        <v>5</v>
      </c>
      <c r="N307">
        <v>10</v>
      </c>
      <c r="O307">
        <v>7</v>
      </c>
      <c r="P307">
        <v>4</v>
      </c>
      <c r="Q307">
        <v>5</v>
      </c>
      <c r="R307">
        <v>4</v>
      </c>
      <c r="S307">
        <v>87.1</v>
      </c>
      <c r="T307">
        <v>77.7</v>
      </c>
      <c r="U307">
        <v>1</v>
      </c>
      <c r="V307">
        <v>3</v>
      </c>
      <c r="W307">
        <v>63.6</v>
      </c>
      <c r="X307">
        <v>52.9</v>
      </c>
      <c r="Y307">
        <v>48.4</v>
      </c>
      <c r="Z307">
        <v>51.6</v>
      </c>
      <c r="AA307" s="17">
        <f t="shared" si="17"/>
        <v>7465</v>
      </c>
      <c r="AB307">
        <f t="shared" si="18"/>
        <v>9879</v>
      </c>
      <c r="AC307" s="18">
        <f t="shared" si="19"/>
        <v>75</v>
      </c>
      <c r="AD307" s="22">
        <f t="shared" si="20"/>
        <v>75</v>
      </c>
    </row>
    <row r="308" spans="1:30" x14ac:dyDescent="0.25">
      <c r="A308" t="s">
        <v>206</v>
      </c>
      <c r="B308" s="20">
        <v>45039</v>
      </c>
      <c r="C308" t="s">
        <v>182</v>
      </c>
      <c r="D308" s="4">
        <v>52252</v>
      </c>
      <c r="E308" t="s">
        <v>128</v>
      </c>
      <c r="F308">
        <v>6</v>
      </c>
      <c r="G308" t="s">
        <v>129</v>
      </c>
      <c r="H308">
        <v>1</v>
      </c>
      <c r="I308">
        <v>57</v>
      </c>
      <c r="J308">
        <v>43</v>
      </c>
      <c r="K308">
        <v>25</v>
      </c>
      <c r="L308">
        <v>11</v>
      </c>
      <c r="M308">
        <v>8</v>
      </c>
      <c r="N308">
        <v>3</v>
      </c>
      <c r="O308">
        <v>5</v>
      </c>
      <c r="P308">
        <v>5</v>
      </c>
      <c r="Q308">
        <v>12</v>
      </c>
      <c r="R308">
        <v>3</v>
      </c>
      <c r="S308">
        <v>86.4</v>
      </c>
      <c r="T308">
        <v>79.099999999999994</v>
      </c>
      <c r="U308">
        <v>5</v>
      </c>
      <c r="V308">
        <v>1</v>
      </c>
      <c r="W308">
        <v>53.8</v>
      </c>
      <c r="X308">
        <v>64.7</v>
      </c>
      <c r="Y308">
        <v>71.400000000000006</v>
      </c>
      <c r="Z308">
        <v>28.6</v>
      </c>
      <c r="AA308" s="17">
        <f t="shared" si="17"/>
        <v>49252</v>
      </c>
      <c r="AB308">
        <f t="shared" si="18"/>
        <v>49350</v>
      </c>
      <c r="AC308" s="18">
        <f t="shared" si="19"/>
        <v>99</v>
      </c>
      <c r="AD308" s="22">
        <f t="shared" si="20"/>
        <v>99</v>
      </c>
    </row>
    <row r="309" spans="1:30" x14ac:dyDescent="0.25">
      <c r="A309" t="s">
        <v>205</v>
      </c>
      <c r="B309" s="20">
        <v>45041</v>
      </c>
      <c r="C309" t="s">
        <v>152</v>
      </c>
      <c r="D309" s="4">
        <v>30792</v>
      </c>
      <c r="E309" t="s">
        <v>173</v>
      </c>
      <c r="F309">
        <v>2</v>
      </c>
      <c r="G309" t="s">
        <v>29</v>
      </c>
      <c r="H309">
        <v>0</v>
      </c>
      <c r="I309">
        <v>41.2</v>
      </c>
      <c r="J309">
        <v>58.8</v>
      </c>
      <c r="K309">
        <v>9</v>
      </c>
      <c r="L309">
        <v>14</v>
      </c>
      <c r="M309">
        <v>3</v>
      </c>
      <c r="N309">
        <v>4</v>
      </c>
      <c r="O309">
        <v>4</v>
      </c>
      <c r="P309">
        <v>4</v>
      </c>
      <c r="Q309">
        <v>2</v>
      </c>
      <c r="R309">
        <v>6</v>
      </c>
      <c r="S309">
        <v>73.8</v>
      </c>
      <c r="T309">
        <v>81.599999999999994</v>
      </c>
      <c r="U309">
        <v>0</v>
      </c>
      <c r="V309">
        <v>0</v>
      </c>
      <c r="W309">
        <v>38.1</v>
      </c>
      <c r="X309">
        <v>54.5</v>
      </c>
      <c r="Y309">
        <v>55.9</v>
      </c>
      <c r="Z309">
        <v>44.1</v>
      </c>
      <c r="AA309" s="17">
        <f t="shared" si="17"/>
        <v>27792</v>
      </c>
      <c r="AB309">
        <f t="shared" si="18"/>
        <v>29050</v>
      </c>
      <c r="AC309" s="18">
        <f t="shared" si="19"/>
        <v>95</v>
      </c>
      <c r="AD309" s="22">
        <f t="shared" si="20"/>
        <v>95</v>
      </c>
    </row>
    <row r="310" spans="1:30" x14ac:dyDescent="0.25">
      <c r="A310" t="s">
        <v>205</v>
      </c>
      <c r="B310" s="20">
        <v>45041</v>
      </c>
      <c r="C310" t="s">
        <v>175</v>
      </c>
      <c r="D310" s="4">
        <v>36666</v>
      </c>
      <c r="E310" t="s">
        <v>27</v>
      </c>
      <c r="F310">
        <v>1</v>
      </c>
      <c r="G310" t="s">
        <v>36</v>
      </c>
      <c r="H310">
        <v>1</v>
      </c>
      <c r="I310">
        <v>40.799999999999997</v>
      </c>
      <c r="J310">
        <v>59.2</v>
      </c>
      <c r="K310">
        <v>13</v>
      </c>
      <c r="L310">
        <v>15</v>
      </c>
      <c r="M310">
        <v>3</v>
      </c>
      <c r="N310">
        <v>3</v>
      </c>
      <c r="O310">
        <v>6</v>
      </c>
      <c r="P310">
        <v>6</v>
      </c>
      <c r="Q310">
        <v>4</v>
      </c>
      <c r="R310">
        <v>6</v>
      </c>
      <c r="S310">
        <v>64.2</v>
      </c>
      <c r="T310">
        <v>73</v>
      </c>
      <c r="U310">
        <v>3</v>
      </c>
      <c r="V310">
        <v>3</v>
      </c>
      <c r="W310">
        <v>50</v>
      </c>
      <c r="X310">
        <v>61.9</v>
      </c>
      <c r="Y310">
        <v>47.1</v>
      </c>
      <c r="Z310">
        <v>52.9</v>
      </c>
      <c r="AA310" s="17">
        <f t="shared" si="17"/>
        <v>33666</v>
      </c>
      <c r="AB310">
        <f t="shared" si="18"/>
        <v>35220</v>
      </c>
      <c r="AC310" s="18">
        <f t="shared" si="19"/>
        <v>95</v>
      </c>
      <c r="AD310" s="22">
        <f t="shared" si="20"/>
        <v>95</v>
      </c>
    </row>
    <row r="311" spans="1:30" x14ac:dyDescent="0.25">
      <c r="A311" t="s">
        <v>205</v>
      </c>
      <c r="B311" s="20">
        <v>45041</v>
      </c>
      <c r="C311" t="s">
        <v>138</v>
      </c>
      <c r="D311" s="4">
        <v>41046</v>
      </c>
      <c r="E311" t="s">
        <v>12</v>
      </c>
      <c r="F311">
        <v>1</v>
      </c>
      <c r="G311" t="s">
        <v>44</v>
      </c>
      <c r="H311">
        <v>0</v>
      </c>
      <c r="I311">
        <v>51.8</v>
      </c>
      <c r="J311">
        <v>48.2</v>
      </c>
      <c r="K311">
        <v>14</v>
      </c>
      <c r="L311">
        <v>1</v>
      </c>
      <c r="M311">
        <v>3</v>
      </c>
      <c r="N311">
        <v>0</v>
      </c>
      <c r="O311">
        <v>4</v>
      </c>
      <c r="P311">
        <v>1</v>
      </c>
      <c r="Q311">
        <v>7</v>
      </c>
      <c r="R311">
        <v>0</v>
      </c>
      <c r="S311">
        <v>83.7</v>
      </c>
      <c r="T311">
        <v>81.3</v>
      </c>
      <c r="U311">
        <v>0</v>
      </c>
      <c r="V311">
        <v>0</v>
      </c>
      <c r="W311">
        <v>63.6</v>
      </c>
      <c r="X311">
        <v>38.1</v>
      </c>
      <c r="Y311">
        <v>65.2</v>
      </c>
      <c r="Z311">
        <v>34.799999999999997</v>
      </c>
      <c r="AA311" s="17">
        <f t="shared" si="17"/>
        <v>38046</v>
      </c>
      <c r="AB311">
        <f t="shared" si="18"/>
        <v>39000</v>
      </c>
      <c r="AC311" s="18">
        <f t="shared" si="19"/>
        <v>97</v>
      </c>
      <c r="AD311" s="22">
        <f t="shared" si="20"/>
        <v>97</v>
      </c>
    </row>
    <row r="312" spans="1:30" x14ac:dyDescent="0.25">
      <c r="A312" t="s">
        <v>204</v>
      </c>
      <c r="B312" s="20">
        <v>45042</v>
      </c>
      <c r="C312" t="s">
        <v>184</v>
      </c>
      <c r="D312" s="4">
        <v>62473</v>
      </c>
      <c r="E312" t="s">
        <v>130</v>
      </c>
      <c r="F312">
        <v>1</v>
      </c>
      <c r="G312" t="s">
        <v>17</v>
      </c>
      <c r="H312">
        <v>2</v>
      </c>
      <c r="I312">
        <v>27.4</v>
      </c>
      <c r="J312">
        <v>72.599999999999994</v>
      </c>
      <c r="K312">
        <v>7</v>
      </c>
      <c r="L312">
        <v>20</v>
      </c>
      <c r="M312">
        <v>2</v>
      </c>
      <c r="N312">
        <v>4</v>
      </c>
      <c r="O312">
        <v>4</v>
      </c>
      <c r="P312">
        <v>9</v>
      </c>
      <c r="Q312">
        <v>1</v>
      </c>
      <c r="R312">
        <v>7</v>
      </c>
      <c r="S312">
        <v>69.8</v>
      </c>
      <c r="T312">
        <v>87.4</v>
      </c>
      <c r="U312">
        <v>0</v>
      </c>
      <c r="V312">
        <v>3</v>
      </c>
      <c r="W312">
        <v>84.6</v>
      </c>
      <c r="X312">
        <v>55</v>
      </c>
      <c r="Y312">
        <v>36.4</v>
      </c>
      <c r="Z312">
        <v>63.6</v>
      </c>
      <c r="AA312" s="17">
        <f t="shared" si="17"/>
        <v>59473</v>
      </c>
      <c r="AB312">
        <f t="shared" si="18"/>
        <v>65013</v>
      </c>
      <c r="AC312" s="18">
        <f t="shared" si="19"/>
        <v>91</v>
      </c>
      <c r="AD312" s="22">
        <f t="shared" si="20"/>
        <v>91</v>
      </c>
    </row>
    <row r="313" spans="1:30" x14ac:dyDescent="0.25">
      <c r="A313" t="s">
        <v>204</v>
      </c>
      <c r="B313" s="20">
        <v>45042</v>
      </c>
      <c r="C313" t="s">
        <v>189</v>
      </c>
      <c r="D313" s="4">
        <v>28808</v>
      </c>
      <c r="E313" t="s">
        <v>123</v>
      </c>
      <c r="F313">
        <v>3</v>
      </c>
      <c r="G313" t="s">
        <v>126</v>
      </c>
      <c r="H313">
        <v>1</v>
      </c>
      <c r="I313">
        <v>24.8</v>
      </c>
      <c r="J313">
        <v>75.2</v>
      </c>
      <c r="K313">
        <v>12</v>
      </c>
      <c r="L313">
        <v>17</v>
      </c>
      <c r="M313">
        <v>5</v>
      </c>
      <c r="N313">
        <v>7</v>
      </c>
      <c r="O313">
        <v>5</v>
      </c>
      <c r="P313">
        <v>6</v>
      </c>
      <c r="Q313">
        <v>2</v>
      </c>
      <c r="R313">
        <v>4</v>
      </c>
      <c r="S313">
        <v>66.8</v>
      </c>
      <c r="T313">
        <v>86.5</v>
      </c>
      <c r="U313">
        <v>1</v>
      </c>
      <c r="V313">
        <v>2</v>
      </c>
      <c r="W313">
        <v>61.1</v>
      </c>
      <c r="X313">
        <v>64.3</v>
      </c>
      <c r="Y313">
        <v>47.4</v>
      </c>
      <c r="Z313">
        <v>52.6</v>
      </c>
      <c r="AA313" s="17">
        <f t="shared" si="17"/>
        <v>25808</v>
      </c>
      <c r="AB313">
        <f t="shared" si="18"/>
        <v>27445</v>
      </c>
      <c r="AC313" s="18">
        <f t="shared" si="19"/>
        <v>94</v>
      </c>
      <c r="AD313" s="22">
        <f t="shared" si="20"/>
        <v>94</v>
      </c>
    </row>
    <row r="314" spans="1:30" x14ac:dyDescent="0.25">
      <c r="A314" t="s">
        <v>204</v>
      </c>
      <c r="B314" s="20">
        <v>45042</v>
      </c>
      <c r="C314" t="s">
        <v>142</v>
      </c>
      <c r="D314" s="4">
        <v>39929</v>
      </c>
      <c r="E314" t="s">
        <v>21</v>
      </c>
      <c r="F314">
        <v>0</v>
      </c>
      <c r="G314" t="s">
        <v>60</v>
      </c>
      <c r="H314">
        <v>2</v>
      </c>
      <c r="I314">
        <v>72.900000000000006</v>
      </c>
      <c r="J314">
        <v>27.1</v>
      </c>
      <c r="K314">
        <v>15</v>
      </c>
      <c r="L314">
        <v>7</v>
      </c>
      <c r="M314">
        <v>4</v>
      </c>
      <c r="N314">
        <v>1</v>
      </c>
      <c r="O314">
        <v>8</v>
      </c>
      <c r="P314">
        <v>5</v>
      </c>
      <c r="Q314">
        <v>3</v>
      </c>
      <c r="R314">
        <v>1</v>
      </c>
      <c r="S314">
        <v>88.2</v>
      </c>
      <c r="T314">
        <v>65.8</v>
      </c>
      <c r="U314">
        <v>1</v>
      </c>
      <c r="V314">
        <v>0</v>
      </c>
      <c r="W314">
        <v>50</v>
      </c>
      <c r="X314">
        <v>46.2</v>
      </c>
      <c r="Y314">
        <v>55.9</v>
      </c>
      <c r="Z314">
        <v>44.1</v>
      </c>
      <c r="AA314" s="17">
        <f t="shared" si="17"/>
        <v>36929</v>
      </c>
      <c r="AB314">
        <f t="shared" si="18"/>
        <v>37343</v>
      </c>
      <c r="AC314" s="18">
        <f t="shared" si="19"/>
        <v>98</v>
      </c>
      <c r="AD314" s="22">
        <f t="shared" si="20"/>
        <v>98</v>
      </c>
    </row>
    <row r="315" spans="1:30" x14ac:dyDescent="0.25">
      <c r="A315" t="s">
        <v>204</v>
      </c>
      <c r="B315" s="20">
        <v>45042</v>
      </c>
      <c r="C315" t="s">
        <v>185</v>
      </c>
      <c r="D315" s="4">
        <v>53482</v>
      </c>
      <c r="E315" t="s">
        <v>19</v>
      </c>
      <c r="F315">
        <v>4</v>
      </c>
      <c r="G315" t="s">
        <v>20</v>
      </c>
      <c r="H315">
        <v>1</v>
      </c>
      <c r="I315">
        <v>51.9</v>
      </c>
      <c r="J315">
        <v>48.1</v>
      </c>
      <c r="K315">
        <v>14</v>
      </c>
      <c r="L315">
        <v>8</v>
      </c>
      <c r="M315">
        <v>9</v>
      </c>
      <c r="N315">
        <v>2</v>
      </c>
      <c r="O315">
        <v>3</v>
      </c>
      <c r="P315">
        <v>3</v>
      </c>
      <c r="Q315">
        <v>2</v>
      </c>
      <c r="R315">
        <v>3</v>
      </c>
      <c r="S315">
        <v>85.1</v>
      </c>
      <c r="T315">
        <v>84.7</v>
      </c>
      <c r="U315">
        <v>4</v>
      </c>
      <c r="V315">
        <v>0</v>
      </c>
      <c r="W315">
        <v>72.7</v>
      </c>
      <c r="X315">
        <v>40</v>
      </c>
      <c r="Y315">
        <v>55.6</v>
      </c>
      <c r="Z315">
        <v>44.4</v>
      </c>
      <c r="AA315" s="17">
        <f t="shared" si="17"/>
        <v>50482</v>
      </c>
      <c r="AB315">
        <f t="shared" si="18"/>
        <v>50400</v>
      </c>
      <c r="AC315" s="18">
        <f t="shared" si="19"/>
        <v>100</v>
      </c>
      <c r="AD315" s="22">
        <f t="shared" si="20"/>
        <v>100</v>
      </c>
    </row>
    <row r="316" spans="1:30" x14ac:dyDescent="0.25">
      <c r="A316" t="s">
        <v>203</v>
      </c>
      <c r="B316" s="20">
        <v>45043</v>
      </c>
      <c r="C316" t="s">
        <v>177</v>
      </c>
      <c r="D316" s="4">
        <v>30414</v>
      </c>
      <c r="E316" t="s">
        <v>28</v>
      </c>
      <c r="F316">
        <v>0</v>
      </c>
      <c r="G316" t="s">
        <v>57</v>
      </c>
      <c r="H316">
        <v>1</v>
      </c>
      <c r="I316">
        <v>56.5</v>
      </c>
      <c r="J316">
        <v>43.5</v>
      </c>
      <c r="K316">
        <v>11</v>
      </c>
      <c r="L316">
        <v>16</v>
      </c>
      <c r="M316">
        <v>2</v>
      </c>
      <c r="N316">
        <v>2</v>
      </c>
      <c r="O316">
        <v>6</v>
      </c>
      <c r="P316">
        <v>4</v>
      </c>
      <c r="Q316">
        <v>3</v>
      </c>
      <c r="R316">
        <v>10</v>
      </c>
      <c r="S316">
        <v>82</v>
      </c>
      <c r="T316">
        <v>78.400000000000006</v>
      </c>
      <c r="U316">
        <v>0</v>
      </c>
      <c r="V316">
        <v>0</v>
      </c>
      <c r="W316">
        <v>78.900000000000006</v>
      </c>
      <c r="X316">
        <v>57.1</v>
      </c>
      <c r="Y316">
        <v>45.5</v>
      </c>
      <c r="Z316">
        <v>54.5</v>
      </c>
      <c r="AA316" s="17">
        <f t="shared" si="17"/>
        <v>27414</v>
      </c>
      <c r="AB316">
        <f t="shared" si="18"/>
        <v>29384</v>
      </c>
      <c r="AC316" s="18">
        <f t="shared" si="19"/>
        <v>93</v>
      </c>
      <c r="AD316" s="22">
        <f t="shared" si="20"/>
        <v>93</v>
      </c>
    </row>
    <row r="317" spans="1:30" x14ac:dyDescent="0.25">
      <c r="A317" t="s">
        <v>203</v>
      </c>
      <c r="B317" s="20">
        <v>45043</v>
      </c>
      <c r="C317" t="s">
        <v>187</v>
      </c>
      <c r="D317" s="4">
        <v>61586</v>
      </c>
      <c r="E317" t="s">
        <v>129</v>
      </c>
      <c r="F317">
        <v>2</v>
      </c>
      <c r="G317" t="s">
        <v>127</v>
      </c>
      <c r="H317">
        <v>2</v>
      </c>
      <c r="I317">
        <v>39.9</v>
      </c>
      <c r="J317">
        <v>60.1</v>
      </c>
      <c r="K317">
        <v>18</v>
      </c>
      <c r="L317">
        <v>17</v>
      </c>
      <c r="M317">
        <v>7</v>
      </c>
      <c r="N317">
        <v>8</v>
      </c>
      <c r="O317">
        <v>7</v>
      </c>
      <c r="P317">
        <v>5</v>
      </c>
      <c r="Q317">
        <v>4</v>
      </c>
      <c r="R317">
        <v>4</v>
      </c>
      <c r="S317">
        <v>81.400000000000006</v>
      </c>
      <c r="T317">
        <v>86.3</v>
      </c>
      <c r="U317">
        <v>4</v>
      </c>
      <c r="V317">
        <v>3</v>
      </c>
      <c r="W317">
        <v>68.400000000000006</v>
      </c>
      <c r="X317">
        <v>81.3</v>
      </c>
      <c r="Y317">
        <v>52.2</v>
      </c>
      <c r="Z317">
        <v>47.8</v>
      </c>
      <c r="AA317" s="17">
        <f t="shared" si="17"/>
        <v>58586</v>
      </c>
      <c r="AB317">
        <f t="shared" si="18"/>
        <v>59850</v>
      </c>
      <c r="AC317" s="18">
        <f t="shared" si="19"/>
        <v>97</v>
      </c>
      <c r="AD317" s="22">
        <f t="shared" si="20"/>
        <v>97</v>
      </c>
    </row>
    <row r="318" spans="1:30" x14ac:dyDescent="0.25">
      <c r="A318" t="s">
        <v>203</v>
      </c>
      <c r="B318" s="20">
        <v>45043</v>
      </c>
      <c r="C318" t="s">
        <v>144</v>
      </c>
      <c r="D318" s="4">
        <v>39248</v>
      </c>
      <c r="E318" t="s">
        <v>23</v>
      </c>
      <c r="F318">
        <v>1</v>
      </c>
      <c r="G318" t="s">
        <v>128</v>
      </c>
      <c r="H318">
        <v>4</v>
      </c>
      <c r="I318">
        <v>39.6</v>
      </c>
      <c r="J318">
        <v>60.4</v>
      </c>
      <c r="K318">
        <v>13</v>
      </c>
      <c r="L318">
        <v>15</v>
      </c>
      <c r="M318">
        <v>5</v>
      </c>
      <c r="N318">
        <v>8</v>
      </c>
      <c r="O318">
        <v>5</v>
      </c>
      <c r="P318">
        <v>3</v>
      </c>
      <c r="Q318">
        <v>3</v>
      </c>
      <c r="R318">
        <v>4</v>
      </c>
      <c r="S318">
        <v>65.3</v>
      </c>
      <c r="T318">
        <v>74.8</v>
      </c>
      <c r="U318">
        <v>0</v>
      </c>
      <c r="V318">
        <v>1</v>
      </c>
      <c r="W318">
        <v>50</v>
      </c>
      <c r="X318">
        <v>50</v>
      </c>
      <c r="Y318">
        <v>55</v>
      </c>
      <c r="Z318">
        <v>45</v>
      </c>
      <c r="AA318" s="17">
        <f t="shared" si="17"/>
        <v>36248</v>
      </c>
      <c r="AB318">
        <f t="shared" si="18"/>
        <v>36572</v>
      </c>
      <c r="AC318" s="18">
        <f t="shared" si="19"/>
        <v>99</v>
      </c>
      <c r="AD318" s="22">
        <f t="shared" si="20"/>
        <v>99</v>
      </c>
    </row>
    <row r="319" spans="1:30" x14ac:dyDescent="0.25">
      <c r="A319" t="s">
        <v>202</v>
      </c>
      <c r="B319" s="20">
        <v>45045</v>
      </c>
      <c r="C319" t="s">
        <v>174</v>
      </c>
      <c r="D319" s="4">
        <v>17080</v>
      </c>
      <c r="E319" t="s">
        <v>60</v>
      </c>
      <c r="F319">
        <v>2</v>
      </c>
      <c r="G319" t="s">
        <v>123</v>
      </c>
      <c r="H319">
        <v>1</v>
      </c>
      <c r="I319">
        <v>68.900000000000006</v>
      </c>
      <c r="J319">
        <v>31.1</v>
      </c>
      <c r="K319">
        <v>14</v>
      </c>
      <c r="L319">
        <v>5</v>
      </c>
      <c r="M319">
        <v>8</v>
      </c>
      <c r="N319">
        <v>3</v>
      </c>
      <c r="O319">
        <v>3</v>
      </c>
      <c r="P319">
        <v>1</v>
      </c>
      <c r="Q319">
        <v>3</v>
      </c>
      <c r="R319">
        <v>1</v>
      </c>
      <c r="S319">
        <v>84.7</v>
      </c>
      <c r="T319">
        <v>68.2</v>
      </c>
      <c r="U319">
        <v>0</v>
      </c>
      <c r="V319">
        <v>1</v>
      </c>
      <c r="W319">
        <v>55.6</v>
      </c>
      <c r="X319">
        <v>61.9</v>
      </c>
      <c r="Y319">
        <v>48.9</v>
      </c>
      <c r="Z319">
        <v>51.1</v>
      </c>
      <c r="AA319" s="17">
        <f t="shared" si="17"/>
        <v>14080</v>
      </c>
      <c r="AB319">
        <f t="shared" si="18"/>
        <v>15250</v>
      </c>
      <c r="AC319" s="18">
        <f t="shared" si="19"/>
        <v>92</v>
      </c>
      <c r="AD319" s="22">
        <f t="shared" si="20"/>
        <v>92</v>
      </c>
    </row>
    <row r="320" spans="1:30" x14ac:dyDescent="0.25">
      <c r="A320" t="s">
        <v>202</v>
      </c>
      <c r="B320" s="20">
        <v>45045</v>
      </c>
      <c r="C320" t="s">
        <v>143</v>
      </c>
      <c r="D320" s="4">
        <v>25148</v>
      </c>
      <c r="E320" t="s">
        <v>29</v>
      </c>
      <c r="F320">
        <v>4</v>
      </c>
      <c r="G320" t="s">
        <v>130</v>
      </c>
      <c r="H320">
        <v>3</v>
      </c>
      <c r="I320">
        <v>59.9</v>
      </c>
      <c r="J320">
        <v>40.1</v>
      </c>
      <c r="K320">
        <v>16</v>
      </c>
      <c r="L320">
        <v>8</v>
      </c>
      <c r="M320">
        <v>6</v>
      </c>
      <c r="N320">
        <v>4</v>
      </c>
      <c r="O320">
        <v>4</v>
      </c>
      <c r="P320">
        <v>3</v>
      </c>
      <c r="Q320">
        <v>6</v>
      </c>
      <c r="R320">
        <v>1</v>
      </c>
      <c r="S320">
        <v>78.7</v>
      </c>
      <c r="T320">
        <v>65.599999999999994</v>
      </c>
      <c r="U320">
        <v>0</v>
      </c>
      <c r="V320">
        <v>1</v>
      </c>
      <c r="W320">
        <v>61.9</v>
      </c>
      <c r="X320">
        <v>65.2</v>
      </c>
      <c r="Y320">
        <v>57.4</v>
      </c>
      <c r="Z320">
        <v>42.6</v>
      </c>
      <c r="AA320" s="17">
        <f t="shared" si="17"/>
        <v>22148</v>
      </c>
      <c r="AB320">
        <f t="shared" si="18"/>
        <v>23486</v>
      </c>
      <c r="AC320" s="18">
        <f t="shared" si="19"/>
        <v>94</v>
      </c>
      <c r="AD320" s="22">
        <f t="shared" si="20"/>
        <v>94</v>
      </c>
    </row>
    <row r="321" spans="1:30" x14ac:dyDescent="0.25">
      <c r="A321" t="s">
        <v>202</v>
      </c>
      <c r="B321" s="20">
        <v>45045</v>
      </c>
      <c r="C321" t="s">
        <v>180</v>
      </c>
      <c r="D321" s="4">
        <v>31584</v>
      </c>
      <c r="E321" t="s">
        <v>126</v>
      </c>
      <c r="F321">
        <v>6</v>
      </c>
      <c r="G321" t="s">
        <v>173</v>
      </c>
      <c r="H321">
        <v>0</v>
      </c>
      <c r="I321">
        <v>57.2</v>
      </c>
      <c r="J321">
        <v>42.8</v>
      </c>
      <c r="K321">
        <v>22</v>
      </c>
      <c r="L321">
        <v>10</v>
      </c>
      <c r="M321">
        <v>8</v>
      </c>
      <c r="N321">
        <v>2</v>
      </c>
      <c r="O321">
        <v>7</v>
      </c>
      <c r="P321">
        <v>5</v>
      </c>
      <c r="Q321">
        <v>7</v>
      </c>
      <c r="R321">
        <v>3</v>
      </c>
      <c r="S321">
        <v>88.2</v>
      </c>
      <c r="T321">
        <v>81.400000000000006</v>
      </c>
      <c r="U321">
        <v>4</v>
      </c>
      <c r="V321">
        <v>0</v>
      </c>
      <c r="W321">
        <v>60</v>
      </c>
      <c r="X321">
        <v>56.3</v>
      </c>
      <c r="Y321">
        <v>90</v>
      </c>
      <c r="Z321">
        <v>10</v>
      </c>
      <c r="AA321" s="17">
        <f t="shared" si="17"/>
        <v>28584</v>
      </c>
      <c r="AB321">
        <f t="shared" si="18"/>
        <v>28876</v>
      </c>
      <c r="AC321" s="18">
        <f t="shared" si="19"/>
        <v>98</v>
      </c>
      <c r="AD321" s="22">
        <f t="shared" si="20"/>
        <v>98</v>
      </c>
    </row>
    <row r="322" spans="1:30" x14ac:dyDescent="0.25">
      <c r="A322" t="s">
        <v>201</v>
      </c>
      <c r="B322" s="20">
        <v>45046</v>
      </c>
      <c r="C322" t="s">
        <v>188</v>
      </c>
      <c r="D322" s="4">
        <v>10434</v>
      </c>
      <c r="E322" t="s">
        <v>57</v>
      </c>
      <c r="F322">
        <v>4</v>
      </c>
      <c r="G322" t="s">
        <v>27</v>
      </c>
      <c r="H322">
        <v>1</v>
      </c>
      <c r="I322">
        <v>42.1</v>
      </c>
      <c r="J322">
        <v>57.9</v>
      </c>
      <c r="K322">
        <v>12</v>
      </c>
      <c r="L322">
        <v>15</v>
      </c>
      <c r="M322">
        <v>7</v>
      </c>
      <c r="N322">
        <v>6</v>
      </c>
      <c r="O322">
        <v>2</v>
      </c>
      <c r="P322">
        <v>7</v>
      </c>
      <c r="Q322">
        <v>3</v>
      </c>
      <c r="R322">
        <v>2</v>
      </c>
      <c r="S322">
        <v>73</v>
      </c>
      <c r="T322">
        <v>80.400000000000006</v>
      </c>
      <c r="U322">
        <v>2</v>
      </c>
      <c r="V322">
        <v>1</v>
      </c>
      <c r="W322">
        <v>50</v>
      </c>
      <c r="X322">
        <v>42.1</v>
      </c>
      <c r="Y322">
        <v>34.299999999999997</v>
      </c>
      <c r="Z322">
        <v>65.7</v>
      </c>
      <c r="AA322" s="17">
        <f t="shared" ref="AA322:AA374" si="21">D322-3000</f>
        <v>7434</v>
      </c>
      <c r="AB322">
        <f t="shared" ref="AB322:AB374" si="22">VLOOKUP(E322,$AJ$1:$AN$23,5,FALSE)</f>
        <v>9879</v>
      </c>
      <c r="AC322" s="18">
        <f t="shared" ref="AC322:AC374" si="23">TRUNC(100*AA322/AB322,0)</f>
        <v>75</v>
      </c>
      <c r="AD322" s="22">
        <f t="shared" ref="AD322:AD374" si="24">AC322</f>
        <v>75</v>
      </c>
    </row>
    <row r="323" spans="1:30" x14ac:dyDescent="0.25">
      <c r="A323" t="s">
        <v>201</v>
      </c>
      <c r="B323" s="20">
        <v>45046</v>
      </c>
      <c r="C323" t="s">
        <v>145</v>
      </c>
      <c r="D323" s="4">
        <v>24498</v>
      </c>
      <c r="E323" t="s">
        <v>44</v>
      </c>
      <c r="F323">
        <v>1</v>
      </c>
      <c r="G323" t="s">
        <v>19</v>
      </c>
      <c r="H323">
        <v>2</v>
      </c>
      <c r="I323">
        <v>37.4</v>
      </c>
      <c r="J323">
        <v>62.6</v>
      </c>
      <c r="K323">
        <v>4</v>
      </c>
      <c r="L323">
        <v>12</v>
      </c>
      <c r="M323">
        <v>1</v>
      </c>
      <c r="N323">
        <v>9</v>
      </c>
      <c r="O323">
        <v>1</v>
      </c>
      <c r="P323">
        <v>3</v>
      </c>
      <c r="Q323">
        <v>2</v>
      </c>
      <c r="R323">
        <v>0</v>
      </c>
      <c r="S323">
        <v>81.3</v>
      </c>
      <c r="T323">
        <v>87</v>
      </c>
      <c r="U323">
        <v>1</v>
      </c>
      <c r="V323">
        <v>1</v>
      </c>
      <c r="W323">
        <v>63.6</v>
      </c>
      <c r="X323">
        <v>71.400000000000006</v>
      </c>
      <c r="Y323">
        <v>46.9</v>
      </c>
      <c r="Z323">
        <v>53.1</v>
      </c>
      <c r="AA323" s="17">
        <f t="shared" si="21"/>
        <v>21498</v>
      </c>
      <c r="AB323">
        <f t="shared" si="22"/>
        <v>25700</v>
      </c>
      <c r="AC323" s="18">
        <f t="shared" si="23"/>
        <v>83</v>
      </c>
      <c r="AD323" s="22">
        <f t="shared" si="24"/>
        <v>83</v>
      </c>
    </row>
    <row r="324" spans="1:30" x14ac:dyDescent="0.25">
      <c r="A324" t="s">
        <v>201</v>
      </c>
      <c r="B324" s="20">
        <v>45046</v>
      </c>
      <c r="C324" t="s">
        <v>146</v>
      </c>
      <c r="D324" s="4">
        <v>53275</v>
      </c>
      <c r="E324" t="s">
        <v>17</v>
      </c>
      <c r="F324">
        <v>4</v>
      </c>
      <c r="G324" t="s">
        <v>129</v>
      </c>
      <c r="H324">
        <v>3</v>
      </c>
      <c r="I324">
        <v>67.599999999999994</v>
      </c>
      <c r="J324">
        <v>32.4</v>
      </c>
      <c r="K324">
        <v>12</v>
      </c>
      <c r="L324">
        <v>10</v>
      </c>
      <c r="M324">
        <v>4</v>
      </c>
      <c r="N324">
        <v>7</v>
      </c>
      <c r="O324">
        <v>4</v>
      </c>
      <c r="P324">
        <v>3</v>
      </c>
      <c r="Q324">
        <v>4</v>
      </c>
      <c r="R324">
        <v>0</v>
      </c>
      <c r="S324">
        <v>88.3</v>
      </c>
      <c r="T324">
        <v>73.7</v>
      </c>
      <c r="U324">
        <v>2</v>
      </c>
      <c r="V324">
        <v>4</v>
      </c>
      <c r="W324">
        <v>68.8</v>
      </c>
      <c r="X324">
        <v>62.5</v>
      </c>
      <c r="Y324">
        <v>74.099999999999994</v>
      </c>
      <c r="Z324">
        <v>25.9</v>
      </c>
      <c r="AA324" s="17">
        <f t="shared" si="21"/>
        <v>50275</v>
      </c>
      <c r="AB324">
        <f t="shared" si="22"/>
        <v>58000</v>
      </c>
      <c r="AC324" s="18">
        <f t="shared" si="23"/>
        <v>86</v>
      </c>
      <c r="AD324" s="22">
        <f t="shared" si="24"/>
        <v>86</v>
      </c>
    </row>
    <row r="325" spans="1:30" x14ac:dyDescent="0.25">
      <c r="A325" t="s">
        <v>201</v>
      </c>
      <c r="B325" s="20">
        <v>45046</v>
      </c>
      <c r="C325" t="s">
        <v>148</v>
      </c>
      <c r="D325" s="4">
        <v>73592</v>
      </c>
      <c r="E325" t="s">
        <v>127</v>
      </c>
      <c r="F325">
        <v>1</v>
      </c>
      <c r="G325" t="s">
        <v>12</v>
      </c>
      <c r="H325">
        <v>0</v>
      </c>
      <c r="I325">
        <v>57.1</v>
      </c>
      <c r="J325">
        <v>42.9</v>
      </c>
      <c r="K325">
        <v>14</v>
      </c>
      <c r="L325">
        <v>7</v>
      </c>
      <c r="M325">
        <v>6</v>
      </c>
      <c r="N325">
        <v>1</v>
      </c>
      <c r="O325">
        <v>6</v>
      </c>
      <c r="P325">
        <v>2</v>
      </c>
      <c r="Q325">
        <v>2</v>
      </c>
      <c r="R325">
        <v>4</v>
      </c>
      <c r="S325">
        <v>84.9</v>
      </c>
      <c r="T325">
        <v>78.099999999999994</v>
      </c>
      <c r="U325">
        <v>1</v>
      </c>
      <c r="V325">
        <v>0</v>
      </c>
      <c r="W325">
        <v>78.599999999999994</v>
      </c>
      <c r="X325">
        <v>46.7</v>
      </c>
      <c r="Y325">
        <v>50</v>
      </c>
      <c r="Z325">
        <v>50</v>
      </c>
      <c r="AA325" s="17">
        <f t="shared" si="21"/>
        <v>70592</v>
      </c>
      <c r="AB325">
        <f t="shared" si="22"/>
        <v>71310</v>
      </c>
      <c r="AC325" s="18">
        <f t="shared" si="23"/>
        <v>98</v>
      </c>
      <c r="AD325" s="22">
        <f t="shared" si="24"/>
        <v>98</v>
      </c>
    </row>
    <row r="326" spans="1:30" x14ac:dyDescent="0.25">
      <c r="A326" t="s">
        <v>201</v>
      </c>
      <c r="B326" s="20">
        <v>45046</v>
      </c>
      <c r="C326" t="s">
        <v>182</v>
      </c>
      <c r="D326" s="4">
        <v>52234</v>
      </c>
      <c r="E326" t="s">
        <v>128</v>
      </c>
      <c r="F326">
        <v>3</v>
      </c>
      <c r="G326" t="s">
        <v>28</v>
      </c>
      <c r="H326">
        <v>1</v>
      </c>
      <c r="I326">
        <v>63.4</v>
      </c>
      <c r="J326">
        <v>36.6</v>
      </c>
      <c r="K326">
        <v>22</v>
      </c>
      <c r="L326">
        <v>4</v>
      </c>
      <c r="M326">
        <v>5</v>
      </c>
      <c r="N326">
        <v>3</v>
      </c>
      <c r="O326">
        <v>9</v>
      </c>
      <c r="P326">
        <v>1</v>
      </c>
      <c r="Q326">
        <v>8</v>
      </c>
      <c r="R326">
        <v>0</v>
      </c>
      <c r="S326">
        <v>81.900000000000006</v>
      </c>
      <c r="T326">
        <v>69.8</v>
      </c>
      <c r="U326">
        <v>3</v>
      </c>
      <c r="V326">
        <v>1</v>
      </c>
      <c r="W326">
        <v>41.2</v>
      </c>
      <c r="X326">
        <v>69.599999999999994</v>
      </c>
      <c r="Y326">
        <v>75</v>
      </c>
      <c r="Z326">
        <v>25</v>
      </c>
      <c r="AA326" s="17">
        <f t="shared" si="21"/>
        <v>49234</v>
      </c>
      <c r="AB326">
        <f t="shared" si="22"/>
        <v>49350</v>
      </c>
      <c r="AC326" s="18">
        <f t="shared" si="23"/>
        <v>99</v>
      </c>
      <c r="AD326" s="22">
        <f t="shared" si="24"/>
        <v>99</v>
      </c>
    </row>
    <row r="327" spans="1:30" x14ac:dyDescent="0.25">
      <c r="A327" t="s">
        <v>200</v>
      </c>
      <c r="B327" s="20">
        <v>45047</v>
      </c>
      <c r="C327" t="s">
        <v>176</v>
      </c>
      <c r="D327" s="4">
        <v>32173</v>
      </c>
      <c r="E327" t="s">
        <v>36</v>
      </c>
      <c r="F327">
        <v>2</v>
      </c>
      <c r="G327" t="s">
        <v>23</v>
      </c>
      <c r="H327">
        <v>2</v>
      </c>
      <c r="I327">
        <v>55.3</v>
      </c>
      <c r="J327">
        <v>44.7</v>
      </c>
      <c r="K327">
        <v>15</v>
      </c>
      <c r="L327">
        <v>23</v>
      </c>
      <c r="M327">
        <v>6</v>
      </c>
      <c r="N327">
        <v>8</v>
      </c>
      <c r="O327">
        <v>4</v>
      </c>
      <c r="P327">
        <v>9</v>
      </c>
      <c r="Q327">
        <v>5</v>
      </c>
      <c r="R327">
        <v>6</v>
      </c>
      <c r="S327">
        <v>74.099999999999994</v>
      </c>
      <c r="T327">
        <v>72.099999999999994</v>
      </c>
      <c r="U327">
        <v>3</v>
      </c>
      <c r="V327">
        <v>1</v>
      </c>
      <c r="W327">
        <v>52.6</v>
      </c>
      <c r="X327">
        <v>60</v>
      </c>
      <c r="Y327">
        <v>47.6</v>
      </c>
      <c r="Z327">
        <v>52.4</v>
      </c>
      <c r="AA327" s="17">
        <f t="shared" si="21"/>
        <v>29173</v>
      </c>
      <c r="AB327">
        <f t="shared" si="22"/>
        <v>29261</v>
      </c>
      <c r="AC327" s="18">
        <f t="shared" si="23"/>
        <v>99</v>
      </c>
      <c r="AD327" s="22">
        <f t="shared" si="24"/>
        <v>99</v>
      </c>
    </row>
    <row r="328" spans="1:30" x14ac:dyDescent="0.25">
      <c r="A328" t="s">
        <v>199</v>
      </c>
      <c r="B328" s="20">
        <v>45048</v>
      </c>
      <c r="C328" t="s">
        <v>172</v>
      </c>
      <c r="D328" s="4">
        <v>60144</v>
      </c>
      <c r="E328" t="s">
        <v>20</v>
      </c>
      <c r="F328">
        <v>3</v>
      </c>
      <c r="G328" t="s">
        <v>21</v>
      </c>
      <c r="H328">
        <v>1</v>
      </c>
      <c r="I328">
        <v>54.8</v>
      </c>
      <c r="J328">
        <v>45.2</v>
      </c>
      <c r="K328">
        <v>16</v>
      </c>
      <c r="L328">
        <v>7</v>
      </c>
      <c r="M328">
        <v>10</v>
      </c>
      <c r="N328">
        <v>4</v>
      </c>
      <c r="O328">
        <v>3</v>
      </c>
      <c r="P328">
        <v>1</v>
      </c>
      <c r="Q328">
        <v>3</v>
      </c>
      <c r="R328">
        <v>2</v>
      </c>
      <c r="S328">
        <v>86.6</v>
      </c>
      <c r="T328">
        <v>84.2</v>
      </c>
      <c r="U328">
        <v>1</v>
      </c>
      <c r="V328">
        <v>2</v>
      </c>
      <c r="W328">
        <v>33.299999999999997</v>
      </c>
      <c r="X328">
        <v>73.3</v>
      </c>
      <c r="Y328">
        <v>37.5</v>
      </c>
      <c r="Z328">
        <v>62.5</v>
      </c>
      <c r="AA328" s="17">
        <f t="shared" si="21"/>
        <v>57144</v>
      </c>
      <c r="AB328">
        <f t="shared" si="22"/>
        <v>57704</v>
      </c>
      <c r="AC328" s="18">
        <f t="shared" si="23"/>
        <v>99</v>
      </c>
      <c r="AD328" s="22">
        <f t="shared" si="24"/>
        <v>99</v>
      </c>
    </row>
    <row r="329" spans="1:30" x14ac:dyDescent="0.25">
      <c r="A329" t="s">
        <v>198</v>
      </c>
      <c r="B329" s="20">
        <v>45049</v>
      </c>
      <c r="C329" t="s">
        <v>146</v>
      </c>
      <c r="D329" s="4">
        <v>52602</v>
      </c>
      <c r="E329" t="s">
        <v>17</v>
      </c>
      <c r="F329">
        <v>1</v>
      </c>
      <c r="G329" t="s">
        <v>44</v>
      </c>
      <c r="H329">
        <v>0</v>
      </c>
      <c r="I329">
        <v>57.1</v>
      </c>
      <c r="J329">
        <v>42.9</v>
      </c>
      <c r="K329">
        <v>15</v>
      </c>
      <c r="L329">
        <v>9</v>
      </c>
      <c r="M329">
        <v>3</v>
      </c>
      <c r="N329">
        <v>3</v>
      </c>
      <c r="O329">
        <v>9</v>
      </c>
      <c r="P329">
        <v>3</v>
      </c>
      <c r="Q329">
        <v>3</v>
      </c>
      <c r="R329">
        <v>3</v>
      </c>
      <c r="S329">
        <v>85.2</v>
      </c>
      <c r="T329">
        <v>83.9</v>
      </c>
      <c r="U329">
        <v>1</v>
      </c>
      <c r="V329">
        <v>1</v>
      </c>
      <c r="W329">
        <v>57.1</v>
      </c>
      <c r="X329">
        <v>53.3</v>
      </c>
      <c r="Y329">
        <v>66.7</v>
      </c>
      <c r="Z329">
        <v>33.299999999999997</v>
      </c>
      <c r="AA329" s="17">
        <f t="shared" si="21"/>
        <v>49602</v>
      </c>
      <c r="AB329">
        <f t="shared" si="22"/>
        <v>58000</v>
      </c>
      <c r="AC329" s="18">
        <f t="shared" si="23"/>
        <v>85</v>
      </c>
      <c r="AD329" s="22">
        <f t="shared" si="24"/>
        <v>85</v>
      </c>
    </row>
    <row r="330" spans="1:30" x14ac:dyDescent="0.25">
      <c r="A330" t="s">
        <v>198</v>
      </c>
      <c r="B330" s="20">
        <v>45049</v>
      </c>
      <c r="C330" t="s">
        <v>185</v>
      </c>
      <c r="D330" s="4">
        <v>53305</v>
      </c>
      <c r="E330" t="s">
        <v>19</v>
      </c>
      <c r="F330">
        <v>3</v>
      </c>
      <c r="G330" t="s">
        <v>130</v>
      </c>
      <c r="H330">
        <v>0</v>
      </c>
      <c r="I330">
        <v>68.900000000000006</v>
      </c>
      <c r="J330">
        <v>31.1</v>
      </c>
      <c r="K330">
        <v>16</v>
      </c>
      <c r="L330">
        <v>6</v>
      </c>
      <c r="M330">
        <v>7</v>
      </c>
      <c r="N330">
        <v>2</v>
      </c>
      <c r="O330">
        <v>7</v>
      </c>
      <c r="P330">
        <v>3</v>
      </c>
      <c r="Q330">
        <v>2</v>
      </c>
      <c r="R330">
        <v>1</v>
      </c>
      <c r="S330">
        <v>90.7</v>
      </c>
      <c r="T330">
        <v>78</v>
      </c>
      <c r="U330">
        <v>6</v>
      </c>
      <c r="V330">
        <v>1</v>
      </c>
      <c r="W330">
        <v>56.3</v>
      </c>
      <c r="X330">
        <v>66.7</v>
      </c>
      <c r="Y330">
        <v>41.7</v>
      </c>
      <c r="Z330">
        <v>58.3</v>
      </c>
      <c r="AA330" s="17">
        <f t="shared" si="21"/>
        <v>50305</v>
      </c>
      <c r="AB330">
        <f t="shared" si="22"/>
        <v>50400</v>
      </c>
      <c r="AC330" s="18">
        <f t="shared" si="23"/>
        <v>99</v>
      </c>
      <c r="AD330" s="22">
        <f t="shared" si="24"/>
        <v>99</v>
      </c>
    </row>
    <row r="331" spans="1:30" x14ac:dyDescent="0.25">
      <c r="A331" t="s">
        <v>197</v>
      </c>
      <c r="B331" s="20">
        <v>45050</v>
      </c>
      <c r="C331" t="s">
        <v>180</v>
      </c>
      <c r="D331" s="4">
        <v>31577</v>
      </c>
      <c r="E331" t="s">
        <v>126</v>
      </c>
      <c r="F331">
        <v>1</v>
      </c>
      <c r="G331" t="s">
        <v>127</v>
      </c>
      <c r="H331">
        <v>0</v>
      </c>
      <c r="I331">
        <v>59.6</v>
      </c>
      <c r="J331">
        <v>40.4</v>
      </c>
      <c r="K331">
        <v>22</v>
      </c>
      <c r="L331">
        <v>16</v>
      </c>
      <c r="M331">
        <v>6</v>
      </c>
      <c r="N331">
        <v>5</v>
      </c>
      <c r="O331">
        <v>11</v>
      </c>
      <c r="P331">
        <v>6</v>
      </c>
      <c r="Q331">
        <v>5</v>
      </c>
      <c r="R331">
        <v>5</v>
      </c>
      <c r="S331">
        <v>86.3</v>
      </c>
      <c r="T331">
        <v>75.599999999999994</v>
      </c>
      <c r="U331">
        <v>0</v>
      </c>
      <c r="V331">
        <v>2</v>
      </c>
      <c r="W331">
        <v>53.3</v>
      </c>
      <c r="X331">
        <v>65</v>
      </c>
      <c r="Y331">
        <v>63.2</v>
      </c>
      <c r="Z331">
        <v>36.799999999999997</v>
      </c>
      <c r="AA331" s="17">
        <f t="shared" si="21"/>
        <v>28577</v>
      </c>
      <c r="AB331">
        <f t="shared" si="22"/>
        <v>28876</v>
      </c>
      <c r="AC331" s="18">
        <f t="shared" si="23"/>
        <v>98</v>
      </c>
      <c r="AD331" s="22">
        <f t="shared" si="24"/>
        <v>98</v>
      </c>
    </row>
    <row r="332" spans="1:30" x14ac:dyDescent="0.25">
      <c r="A332" t="s">
        <v>196</v>
      </c>
      <c r="B332" s="20">
        <v>45052</v>
      </c>
      <c r="C332" t="s">
        <v>188</v>
      </c>
      <c r="D332" s="4">
        <v>10357</v>
      </c>
      <c r="E332" t="s">
        <v>57</v>
      </c>
      <c r="F332">
        <v>1</v>
      </c>
      <c r="G332" t="s">
        <v>21</v>
      </c>
      <c r="H332">
        <v>3</v>
      </c>
      <c r="I332">
        <v>34</v>
      </c>
      <c r="J332">
        <v>66</v>
      </c>
      <c r="K332">
        <v>10</v>
      </c>
      <c r="L332">
        <v>11</v>
      </c>
      <c r="M332">
        <v>4</v>
      </c>
      <c r="N332">
        <v>5</v>
      </c>
      <c r="O332">
        <v>4</v>
      </c>
      <c r="P332">
        <v>5</v>
      </c>
      <c r="Q332">
        <v>2</v>
      </c>
      <c r="R332">
        <v>1</v>
      </c>
      <c r="S332">
        <v>75.400000000000006</v>
      </c>
      <c r="T332">
        <v>88.2</v>
      </c>
      <c r="U332">
        <v>1</v>
      </c>
      <c r="V332">
        <v>2</v>
      </c>
      <c r="W332">
        <v>56.3</v>
      </c>
      <c r="X332">
        <v>91.7</v>
      </c>
      <c r="Y332">
        <v>50</v>
      </c>
      <c r="Z332">
        <v>50</v>
      </c>
      <c r="AA332" s="17">
        <f t="shared" si="21"/>
        <v>7357</v>
      </c>
      <c r="AB332">
        <f t="shared" si="22"/>
        <v>9879</v>
      </c>
      <c r="AC332" s="18">
        <f t="shared" si="23"/>
        <v>74</v>
      </c>
      <c r="AD332" s="22">
        <f t="shared" si="24"/>
        <v>74</v>
      </c>
    </row>
    <row r="333" spans="1:30" x14ac:dyDescent="0.25">
      <c r="A333" t="s">
        <v>196</v>
      </c>
      <c r="B333" s="20">
        <v>45052</v>
      </c>
      <c r="C333" t="s">
        <v>146</v>
      </c>
      <c r="D333" s="4">
        <v>52838</v>
      </c>
      <c r="E333" t="s">
        <v>17</v>
      </c>
      <c r="F333">
        <v>1</v>
      </c>
      <c r="G333" t="s">
        <v>60</v>
      </c>
      <c r="H333">
        <v>0</v>
      </c>
      <c r="I333">
        <v>53.9</v>
      </c>
      <c r="J333">
        <v>46.1</v>
      </c>
      <c r="K333">
        <v>15</v>
      </c>
      <c r="L333">
        <v>5</v>
      </c>
      <c r="M333">
        <v>5</v>
      </c>
      <c r="N333">
        <v>1</v>
      </c>
      <c r="O333">
        <v>6</v>
      </c>
      <c r="P333">
        <v>3</v>
      </c>
      <c r="Q333">
        <v>4</v>
      </c>
      <c r="R333">
        <v>1</v>
      </c>
      <c r="S333">
        <v>81.5</v>
      </c>
      <c r="T333">
        <v>74.8</v>
      </c>
      <c r="U333">
        <v>2</v>
      </c>
      <c r="V333">
        <v>0</v>
      </c>
      <c r="W333">
        <v>55.6</v>
      </c>
      <c r="X333">
        <v>54.5</v>
      </c>
      <c r="Y333">
        <v>50</v>
      </c>
      <c r="Z333">
        <v>50</v>
      </c>
      <c r="AA333" s="17">
        <f t="shared" si="21"/>
        <v>49838</v>
      </c>
      <c r="AB333">
        <f t="shared" si="22"/>
        <v>58000</v>
      </c>
      <c r="AC333" s="18">
        <f t="shared" si="23"/>
        <v>85</v>
      </c>
      <c r="AD333" s="22">
        <f t="shared" si="24"/>
        <v>85</v>
      </c>
    </row>
    <row r="334" spans="1:30" x14ac:dyDescent="0.25">
      <c r="A334" t="s">
        <v>196</v>
      </c>
      <c r="B334" s="20">
        <v>45052</v>
      </c>
      <c r="C334" t="s">
        <v>187</v>
      </c>
      <c r="D334" s="4">
        <v>61093</v>
      </c>
      <c r="E334" t="s">
        <v>129</v>
      </c>
      <c r="F334">
        <v>1</v>
      </c>
      <c r="G334" t="s">
        <v>29</v>
      </c>
      <c r="H334">
        <v>0</v>
      </c>
      <c r="I334">
        <v>57.5</v>
      </c>
      <c r="J334">
        <v>42.5</v>
      </c>
      <c r="K334">
        <v>8</v>
      </c>
      <c r="L334">
        <v>7</v>
      </c>
      <c r="M334">
        <v>3</v>
      </c>
      <c r="N334">
        <v>2</v>
      </c>
      <c r="O334">
        <v>3</v>
      </c>
      <c r="P334">
        <v>3</v>
      </c>
      <c r="Q334">
        <v>2</v>
      </c>
      <c r="R334">
        <v>2</v>
      </c>
      <c r="S334">
        <v>84</v>
      </c>
      <c r="T334">
        <v>75.400000000000006</v>
      </c>
      <c r="U334">
        <v>3</v>
      </c>
      <c r="V334">
        <v>0</v>
      </c>
      <c r="W334">
        <v>46.2</v>
      </c>
      <c r="X334">
        <v>73.3</v>
      </c>
      <c r="Y334">
        <v>63.3</v>
      </c>
      <c r="Z334">
        <v>36.700000000000003</v>
      </c>
      <c r="AA334" s="17">
        <f t="shared" si="21"/>
        <v>58093</v>
      </c>
      <c r="AB334">
        <f t="shared" si="22"/>
        <v>59850</v>
      </c>
      <c r="AC334" s="18">
        <f t="shared" si="23"/>
        <v>97</v>
      </c>
      <c r="AD334" s="22">
        <f t="shared" si="24"/>
        <v>97</v>
      </c>
    </row>
    <row r="335" spans="1:30" x14ac:dyDescent="0.25">
      <c r="A335" t="s">
        <v>196</v>
      </c>
      <c r="B335" s="20">
        <v>45052</v>
      </c>
      <c r="C335" t="s">
        <v>152</v>
      </c>
      <c r="D335" s="4">
        <v>31641</v>
      </c>
      <c r="E335" t="s">
        <v>173</v>
      </c>
      <c r="F335">
        <v>1</v>
      </c>
      <c r="G335" t="s">
        <v>12</v>
      </c>
      <c r="H335">
        <v>0</v>
      </c>
      <c r="I335">
        <v>38</v>
      </c>
      <c r="J335">
        <v>62</v>
      </c>
      <c r="K335">
        <v>6</v>
      </c>
      <c r="L335">
        <v>16</v>
      </c>
      <c r="M335">
        <v>2</v>
      </c>
      <c r="N335">
        <v>3</v>
      </c>
      <c r="O335">
        <v>2</v>
      </c>
      <c r="P335">
        <v>6</v>
      </c>
      <c r="Q335">
        <v>2</v>
      </c>
      <c r="R335">
        <v>7</v>
      </c>
      <c r="S335">
        <v>73.5</v>
      </c>
      <c r="T335">
        <v>85.9</v>
      </c>
      <c r="U335">
        <v>1</v>
      </c>
      <c r="V335">
        <v>2</v>
      </c>
      <c r="W335">
        <v>69.2</v>
      </c>
      <c r="X335">
        <v>70</v>
      </c>
      <c r="Y335">
        <v>32.1</v>
      </c>
      <c r="Z335">
        <v>67.900000000000006</v>
      </c>
      <c r="AA335" s="17">
        <f t="shared" si="21"/>
        <v>28641</v>
      </c>
      <c r="AB335">
        <f t="shared" si="22"/>
        <v>29050</v>
      </c>
      <c r="AC335" s="18">
        <f t="shared" si="23"/>
        <v>98</v>
      </c>
      <c r="AD335" s="22">
        <f t="shared" si="24"/>
        <v>98</v>
      </c>
    </row>
    <row r="336" spans="1:30" x14ac:dyDescent="0.25">
      <c r="A336" t="s">
        <v>196</v>
      </c>
      <c r="B336" s="20">
        <v>45052</v>
      </c>
      <c r="C336" t="s">
        <v>185</v>
      </c>
      <c r="D336" s="4">
        <v>53406</v>
      </c>
      <c r="E336" t="s">
        <v>19</v>
      </c>
      <c r="F336">
        <v>2</v>
      </c>
      <c r="G336" t="s">
        <v>27</v>
      </c>
      <c r="H336">
        <v>1</v>
      </c>
      <c r="I336">
        <v>80.900000000000006</v>
      </c>
      <c r="J336">
        <v>19.100000000000001</v>
      </c>
      <c r="K336">
        <v>18</v>
      </c>
      <c r="L336">
        <v>4</v>
      </c>
      <c r="M336">
        <v>6</v>
      </c>
      <c r="N336">
        <v>2</v>
      </c>
      <c r="O336">
        <v>10</v>
      </c>
      <c r="P336">
        <v>1</v>
      </c>
      <c r="Q336">
        <v>2</v>
      </c>
      <c r="R336">
        <v>1</v>
      </c>
      <c r="S336">
        <v>91.1</v>
      </c>
      <c r="T336">
        <v>59.7</v>
      </c>
      <c r="U336">
        <v>2</v>
      </c>
      <c r="V336">
        <v>0</v>
      </c>
      <c r="W336">
        <v>71.400000000000006</v>
      </c>
      <c r="X336">
        <v>50</v>
      </c>
      <c r="Y336">
        <v>52</v>
      </c>
      <c r="Z336">
        <v>48</v>
      </c>
      <c r="AA336" s="17">
        <f t="shared" si="21"/>
        <v>50406</v>
      </c>
      <c r="AB336">
        <f t="shared" si="22"/>
        <v>50400</v>
      </c>
      <c r="AC336" s="18">
        <f t="shared" si="23"/>
        <v>100</v>
      </c>
      <c r="AD336" s="22">
        <f t="shared" si="24"/>
        <v>100</v>
      </c>
    </row>
    <row r="337" spans="1:30" x14ac:dyDescent="0.25">
      <c r="A337" t="s">
        <v>195</v>
      </c>
      <c r="B337" s="20">
        <v>45053</v>
      </c>
      <c r="C337" t="s">
        <v>184</v>
      </c>
      <c r="D337" s="4">
        <v>62477</v>
      </c>
      <c r="E337" t="s">
        <v>130</v>
      </c>
      <c r="F337">
        <v>1</v>
      </c>
      <c r="G337" t="s">
        <v>127</v>
      </c>
      <c r="H337">
        <v>0</v>
      </c>
      <c r="I337">
        <v>34.6</v>
      </c>
      <c r="J337">
        <v>65.400000000000006</v>
      </c>
      <c r="K337">
        <v>15</v>
      </c>
      <c r="L337">
        <v>19</v>
      </c>
      <c r="M337">
        <v>4</v>
      </c>
      <c r="N337">
        <v>4</v>
      </c>
      <c r="O337">
        <v>5</v>
      </c>
      <c r="P337">
        <v>12</v>
      </c>
      <c r="Q337">
        <v>6</v>
      </c>
      <c r="R337">
        <v>3</v>
      </c>
      <c r="S337">
        <v>76.2</v>
      </c>
      <c r="T337">
        <v>86.5</v>
      </c>
      <c r="U337">
        <v>2</v>
      </c>
      <c r="V337">
        <v>1</v>
      </c>
      <c r="W337">
        <v>41.2</v>
      </c>
      <c r="X337">
        <v>50</v>
      </c>
      <c r="Y337">
        <v>53.1</v>
      </c>
      <c r="Z337">
        <v>46.9</v>
      </c>
      <c r="AA337" s="17">
        <f t="shared" si="21"/>
        <v>59477</v>
      </c>
      <c r="AB337">
        <f t="shared" si="22"/>
        <v>65013</v>
      </c>
      <c r="AC337" s="18">
        <f t="shared" si="23"/>
        <v>91</v>
      </c>
      <c r="AD337" s="22">
        <f t="shared" si="24"/>
        <v>91</v>
      </c>
    </row>
    <row r="338" spans="1:30" x14ac:dyDescent="0.25">
      <c r="A338" t="s">
        <v>195</v>
      </c>
      <c r="B338" s="20">
        <v>45053</v>
      </c>
      <c r="C338" t="s">
        <v>182</v>
      </c>
      <c r="D338" s="4">
        <v>50267</v>
      </c>
      <c r="E338" t="s">
        <v>128</v>
      </c>
      <c r="F338">
        <v>0</v>
      </c>
      <c r="G338" t="s">
        <v>20</v>
      </c>
      <c r="H338">
        <v>2</v>
      </c>
      <c r="I338">
        <v>54.3</v>
      </c>
      <c r="J338">
        <v>45.7</v>
      </c>
      <c r="K338">
        <v>12</v>
      </c>
      <c r="L338">
        <v>10</v>
      </c>
      <c r="M338">
        <v>5</v>
      </c>
      <c r="N338">
        <v>6</v>
      </c>
      <c r="O338">
        <v>4</v>
      </c>
      <c r="P338">
        <v>2</v>
      </c>
      <c r="Q338">
        <v>3</v>
      </c>
      <c r="R338">
        <v>2</v>
      </c>
      <c r="S338">
        <v>79.7</v>
      </c>
      <c r="T338">
        <v>79.2</v>
      </c>
      <c r="U338">
        <v>2</v>
      </c>
      <c r="V338">
        <v>2</v>
      </c>
      <c r="W338">
        <v>50</v>
      </c>
      <c r="X338">
        <v>78.3</v>
      </c>
      <c r="Y338">
        <v>58.6</v>
      </c>
      <c r="Z338">
        <v>41.4</v>
      </c>
      <c r="AA338" s="17">
        <f t="shared" si="21"/>
        <v>47267</v>
      </c>
      <c r="AB338">
        <f t="shared" si="22"/>
        <v>49350</v>
      </c>
      <c r="AC338" s="18">
        <f t="shared" si="23"/>
        <v>95</v>
      </c>
      <c r="AD338" s="22">
        <f t="shared" si="24"/>
        <v>95</v>
      </c>
    </row>
    <row r="339" spans="1:30" x14ac:dyDescent="0.25">
      <c r="A339" t="s">
        <v>194</v>
      </c>
      <c r="B339" s="20">
        <v>45054</v>
      </c>
      <c r="C339" t="s">
        <v>145</v>
      </c>
      <c r="D339" s="4">
        <v>24442</v>
      </c>
      <c r="E339" t="s">
        <v>44</v>
      </c>
      <c r="F339">
        <v>5</v>
      </c>
      <c r="G339" t="s">
        <v>36</v>
      </c>
      <c r="H339">
        <v>3</v>
      </c>
      <c r="I339">
        <v>57.1</v>
      </c>
      <c r="J339">
        <v>42.9</v>
      </c>
      <c r="K339">
        <v>17</v>
      </c>
      <c r="L339">
        <v>18</v>
      </c>
      <c r="M339">
        <v>7</v>
      </c>
      <c r="N339">
        <v>9</v>
      </c>
      <c r="O339">
        <v>5</v>
      </c>
      <c r="P339">
        <v>4</v>
      </c>
      <c r="Q339">
        <v>5</v>
      </c>
      <c r="R339">
        <v>5</v>
      </c>
      <c r="S339">
        <v>82</v>
      </c>
      <c r="T339">
        <v>76.8</v>
      </c>
      <c r="U339">
        <v>2</v>
      </c>
      <c r="V339">
        <v>2</v>
      </c>
      <c r="W339">
        <v>63.6</v>
      </c>
      <c r="X339">
        <v>57.1</v>
      </c>
      <c r="Y339">
        <v>64</v>
      </c>
      <c r="Z339">
        <v>36</v>
      </c>
      <c r="AA339" s="17">
        <f t="shared" si="21"/>
        <v>21442</v>
      </c>
      <c r="AB339">
        <f t="shared" si="22"/>
        <v>25700</v>
      </c>
      <c r="AC339" s="18">
        <f t="shared" si="23"/>
        <v>83</v>
      </c>
      <c r="AD339" s="22">
        <f t="shared" si="24"/>
        <v>83</v>
      </c>
    </row>
    <row r="340" spans="1:30" x14ac:dyDescent="0.25">
      <c r="A340" t="s">
        <v>194</v>
      </c>
      <c r="B340" s="20">
        <v>45054</v>
      </c>
      <c r="C340" t="s">
        <v>189</v>
      </c>
      <c r="D340" s="4">
        <v>29154</v>
      </c>
      <c r="E340" t="s">
        <v>123</v>
      </c>
      <c r="F340">
        <v>4</v>
      </c>
      <c r="G340" t="s">
        <v>28</v>
      </c>
      <c r="H340">
        <v>3</v>
      </c>
      <c r="I340">
        <v>35.9</v>
      </c>
      <c r="J340">
        <v>64.099999999999994</v>
      </c>
      <c r="K340">
        <v>9</v>
      </c>
      <c r="L340">
        <v>19</v>
      </c>
      <c r="M340">
        <v>4</v>
      </c>
      <c r="N340">
        <v>5</v>
      </c>
      <c r="O340">
        <v>3</v>
      </c>
      <c r="P340">
        <v>9</v>
      </c>
      <c r="Q340">
        <v>2</v>
      </c>
      <c r="R340">
        <v>5</v>
      </c>
      <c r="S340">
        <v>69.599999999999994</v>
      </c>
      <c r="T340">
        <v>83.4</v>
      </c>
      <c r="U340">
        <v>1</v>
      </c>
      <c r="V340">
        <v>4</v>
      </c>
      <c r="W340">
        <v>40</v>
      </c>
      <c r="X340">
        <v>66.7</v>
      </c>
      <c r="Y340">
        <v>60</v>
      </c>
      <c r="Z340">
        <v>40</v>
      </c>
      <c r="AA340" s="17">
        <f t="shared" si="21"/>
        <v>26154</v>
      </c>
      <c r="AB340">
        <f t="shared" si="22"/>
        <v>27445</v>
      </c>
      <c r="AC340" s="18">
        <f t="shared" si="23"/>
        <v>95</v>
      </c>
      <c r="AD340" s="22">
        <f t="shared" si="24"/>
        <v>95</v>
      </c>
    </row>
    <row r="341" spans="1:30" x14ac:dyDescent="0.25">
      <c r="A341" t="s">
        <v>194</v>
      </c>
      <c r="B341" s="20">
        <v>45054</v>
      </c>
      <c r="C341" t="s">
        <v>180</v>
      </c>
      <c r="D341" s="4">
        <v>31567</v>
      </c>
      <c r="E341" t="s">
        <v>126</v>
      </c>
      <c r="F341">
        <v>1</v>
      </c>
      <c r="G341" t="s">
        <v>23</v>
      </c>
      <c r="H341">
        <v>5</v>
      </c>
      <c r="I341">
        <v>77.7</v>
      </c>
      <c r="J341">
        <v>22.3</v>
      </c>
      <c r="K341">
        <v>23</v>
      </c>
      <c r="L341">
        <v>10</v>
      </c>
      <c r="M341">
        <v>5</v>
      </c>
      <c r="N341">
        <v>5</v>
      </c>
      <c r="O341">
        <v>9</v>
      </c>
      <c r="P341">
        <v>1</v>
      </c>
      <c r="Q341">
        <v>9</v>
      </c>
      <c r="R341">
        <v>4</v>
      </c>
      <c r="S341">
        <v>88.7</v>
      </c>
      <c r="T341">
        <v>65.2</v>
      </c>
      <c r="U341">
        <v>2</v>
      </c>
      <c r="V341">
        <v>4</v>
      </c>
      <c r="W341">
        <v>63.6</v>
      </c>
      <c r="X341">
        <v>57.9</v>
      </c>
      <c r="Y341">
        <v>45.7</v>
      </c>
      <c r="Z341">
        <v>54.3</v>
      </c>
      <c r="AA341" s="17">
        <f t="shared" si="21"/>
        <v>28567</v>
      </c>
      <c r="AB341">
        <f t="shared" si="22"/>
        <v>28876</v>
      </c>
      <c r="AC341" s="18">
        <f t="shared" si="23"/>
        <v>98</v>
      </c>
      <c r="AD341" s="22">
        <f t="shared" si="24"/>
        <v>98</v>
      </c>
    </row>
    <row r="342" spans="1:30" x14ac:dyDescent="0.25">
      <c r="A342" t="s">
        <v>193</v>
      </c>
      <c r="B342" s="20">
        <v>45059</v>
      </c>
      <c r="C342" t="s">
        <v>177</v>
      </c>
      <c r="D342" s="4">
        <v>28978</v>
      </c>
      <c r="E342" t="s">
        <v>28</v>
      </c>
      <c r="F342">
        <v>0</v>
      </c>
      <c r="G342" t="s">
        <v>44</v>
      </c>
      <c r="H342">
        <v>2</v>
      </c>
      <c r="I342">
        <v>35.6</v>
      </c>
      <c r="J342">
        <v>64.400000000000006</v>
      </c>
      <c r="K342">
        <v>5</v>
      </c>
      <c r="L342">
        <v>9</v>
      </c>
      <c r="M342">
        <v>1</v>
      </c>
      <c r="N342">
        <v>4</v>
      </c>
      <c r="O342">
        <v>2</v>
      </c>
      <c r="P342">
        <v>1</v>
      </c>
      <c r="Q342">
        <v>2</v>
      </c>
      <c r="R342">
        <v>4</v>
      </c>
      <c r="S342">
        <v>77.900000000000006</v>
      </c>
      <c r="T342">
        <v>87.5</v>
      </c>
      <c r="U342">
        <v>0</v>
      </c>
      <c r="V342">
        <v>2</v>
      </c>
      <c r="W342">
        <v>56.3</v>
      </c>
      <c r="X342">
        <v>50</v>
      </c>
      <c r="Y342">
        <v>63.6</v>
      </c>
      <c r="Z342">
        <v>36.4</v>
      </c>
      <c r="AA342" s="17">
        <f t="shared" si="21"/>
        <v>25978</v>
      </c>
      <c r="AB342">
        <f t="shared" si="22"/>
        <v>29384</v>
      </c>
      <c r="AC342" s="18">
        <f t="shared" si="23"/>
        <v>88</v>
      </c>
      <c r="AD342" s="22">
        <f t="shared" si="24"/>
        <v>88</v>
      </c>
    </row>
    <row r="343" spans="1:30" x14ac:dyDescent="0.25">
      <c r="A343" t="s">
        <v>193</v>
      </c>
      <c r="B343" s="20">
        <v>45059</v>
      </c>
      <c r="C343" t="s">
        <v>143</v>
      </c>
      <c r="D343" s="4">
        <v>25034</v>
      </c>
      <c r="E343" t="s">
        <v>29</v>
      </c>
      <c r="F343">
        <v>2</v>
      </c>
      <c r="G343" t="s">
        <v>57</v>
      </c>
      <c r="H343">
        <v>0</v>
      </c>
      <c r="I343">
        <v>59.8</v>
      </c>
      <c r="J343">
        <v>40.200000000000003</v>
      </c>
      <c r="K343">
        <v>17</v>
      </c>
      <c r="L343">
        <v>5</v>
      </c>
      <c r="M343">
        <v>5</v>
      </c>
      <c r="N343">
        <v>0</v>
      </c>
      <c r="O343">
        <v>7</v>
      </c>
      <c r="P343">
        <v>1</v>
      </c>
      <c r="Q343">
        <v>5</v>
      </c>
      <c r="R343">
        <v>4</v>
      </c>
      <c r="S343">
        <v>85.6</v>
      </c>
      <c r="T343">
        <v>80.5</v>
      </c>
      <c r="U343">
        <v>2</v>
      </c>
      <c r="V343">
        <v>0</v>
      </c>
      <c r="W343">
        <v>72.7</v>
      </c>
      <c r="X343">
        <v>50</v>
      </c>
      <c r="Y343">
        <v>42.3</v>
      </c>
      <c r="Z343">
        <v>57.7</v>
      </c>
      <c r="AA343" s="17">
        <f t="shared" si="21"/>
        <v>22034</v>
      </c>
      <c r="AB343">
        <f t="shared" si="22"/>
        <v>23486</v>
      </c>
      <c r="AC343" s="18">
        <f t="shared" si="23"/>
        <v>93</v>
      </c>
      <c r="AD343" s="22">
        <f t="shared" si="24"/>
        <v>93</v>
      </c>
    </row>
    <row r="344" spans="1:30" x14ac:dyDescent="0.25">
      <c r="A344" t="s">
        <v>193</v>
      </c>
      <c r="B344" s="20">
        <v>45059</v>
      </c>
      <c r="C344" t="s">
        <v>175</v>
      </c>
      <c r="D344" s="4">
        <v>36955</v>
      </c>
      <c r="E344" t="s">
        <v>27</v>
      </c>
      <c r="F344">
        <v>2</v>
      </c>
      <c r="G344" t="s">
        <v>128</v>
      </c>
      <c r="H344">
        <v>2</v>
      </c>
      <c r="I344">
        <v>36.1</v>
      </c>
      <c r="J344">
        <v>63.9</v>
      </c>
      <c r="K344">
        <v>9</v>
      </c>
      <c r="L344">
        <v>18</v>
      </c>
      <c r="M344">
        <v>4</v>
      </c>
      <c r="N344">
        <v>5</v>
      </c>
      <c r="O344">
        <v>3</v>
      </c>
      <c r="P344">
        <v>7</v>
      </c>
      <c r="Q344">
        <v>2</v>
      </c>
      <c r="R344">
        <v>6</v>
      </c>
      <c r="S344">
        <v>64.400000000000006</v>
      </c>
      <c r="T344">
        <v>80.8</v>
      </c>
      <c r="U344">
        <v>0</v>
      </c>
      <c r="V344">
        <v>0</v>
      </c>
      <c r="W344">
        <v>52.2</v>
      </c>
      <c r="X344">
        <v>57.1</v>
      </c>
      <c r="Y344">
        <v>37.9</v>
      </c>
      <c r="Z344">
        <v>62.1</v>
      </c>
      <c r="AA344" s="17">
        <f t="shared" si="21"/>
        <v>33955</v>
      </c>
      <c r="AB344">
        <f t="shared" si="22"/>
        <v>35220</v>
      </c>
      <c r="AC344" s="18">
        <f t="shared" si="23"/>
        <v>96</v>
      </c>
      <c r="AD344" s="22">
        <f t="shared" si="24"/>
        <v>96</v>
      </c>
    </row>
    <row r="345" spans="1:30" x14ac:dyDescent="0.25">
      <c r="A345" t="s">
        <v>193</v>
      </c>
      <c r="B345" s="20">
        <v>45059</v>
      </c>
      <c r="C345" t="s">
        <v>148</v>
      </c>
      <c r="D345" s="4">
        <v>73570</v>
      </c>
      <c r="E345" t="s">
        <v>127</v>
      </c>
      <c r="F345">
        <v>2</v>
      </c>
      <c r="G345" t="s">
        <v>173</v>
      </c>
      <c r="H345">
        <v>0</v>
      </c>
      <c r="I345">
        <v>48</v>
      </c>
      <c r="J345">
        <v>52</v>
      </c>
      <c r="K345">
        <v>27</v>
      </c>
      <c r="L345">
        <v>5</v>
      </c>
      <c r="M345">
        <v>9</v>
      </c>
      <c r="N345">
        <v>0</v>
      </c>
      <c r="O345">
        <v>11</v>
      </c>
      <c r="P345">
        <v>5</v>
      </c>
      <c r="Q345">
        <v>7</v>
      </c>
      <c r="R345">
        <v>0</v>
      </c>
      <c r="S345">
        <v>81.8</v>
      </c>
      <c r="T345">
        <v>80.400000000000006</v>
      </c>
      <c r="U345">
        <v>4</v>
      </c>
      <c r="V345">
        <v>0</v>
      </c>
      <c r="W345">
        <v>61.5</v>
      </c>
      <c r="X345">
        <v>87.5</v>
      </c>
      <c r="Y345">
        <v>53.3</v>
      </c>
      <c r="Z345">
        <v>46.7</v>
      </c>
      <c r="AA345" s="17">
        <f t="shared" si="21"/>
        <v>70570</v>
      </c>
      <c r="AB345">
        <f t="shared" si="22"/>
        <v>71310</v>
      </c>
      <c r="AC345" s="18">
        <f t="shared" si="23"/>
        <v>98</v>
      </c>
      <c r="AD345" s="22">
        <f t="shared" si="24"/>
        <v>98</v>
      </c>
    </row>
    <row r="346" spans="1:30" x14ac:dyDescent="0.25">
      <c r="A346" t="s">
        <v>193</v>
      </c>
      <c r="B346" s="20">
        <v>45059</v>
      </c>
      <c r="C346" t="s">
        <v>142</v>
      </c>
      <c r="D346" s="4">
        <v>40030</v>
      </c>
      <c r="E346" t="s">
        <v>21</v>
      </c>
      <c r="F346">
        <v>2</v>
      </c>
      <c r="G346" t="s">
        <v>123</v>
      </c>
      <c r="H346">
        <v>2</v>
      </c>
      <c r="I346">
        <v>76.099999999999994</v>
      </c>
      <c r="J346">
        <v>23.9</v>
      </c>
      <c r="K346">
        <v>14</v>
      </c>
      <c r="L346">
        <v>11</v>
      </c>
      <c r="M346">
        <v>6</v>
      </c>
      <c r="N346">
        <v>2</v>
      </c>
      <c r="O346">
        <v>3</v>
      </c>
      <c r="P346">
        <v>7</v>
      </c>
      <c r="Q346">
        <v>5</v>
      </c>
      <c r="R346">
        <v>2</v>
      </c>
      <c r="S346">
        <v>89.1</v>
      </c>
      <c r="T346">
        <v>60.8</v>
      </c>
      <c r="U346">
        <v>1</v>
      </c>
      <c r="V346">
        <v>3</v>
      </c>
      <c r="W346">
        <v>64.3</v>
      </c>
      <c r="X346">
        <v>53.6</v>
      </c>
      <c r="Y346">
        <v>55.2</v>
      </c>
      <c r="Z346">
        <v>44.8</v>
      </c>
      <c r="AA346" s="17">
        <f t="shared" si="21"/>
        <v>37030</v>
      </c>
      <c r="AB346">
        <f t="shared" si="22"/>
        <v>37343</v>
      </c>
      <c r="AC346" s="18">
        <f t="shared" si="23"/>
        <v>99</v>
      </c>
      <c r="AD346" s="22">
        <f t="shared" si="24"/>
        <v>99</v>
      </c>
    </row>
    <row r="347" spans="1:30" x14ac:dyDescent="0.25">
      <c r="A347" t="s">
        <v>193</v>
      </c>
      <c r="B347" s="20">
        <v>45059</v>
      </c>
      <c r="C347" t="s">
        <v>138</v>
      </c>
      <c r="D347" s="4">
        <v>42164</v>
      </c>
      <c r="E347" t="s">
        <v>12</v>
      </c>
      <c r="F347">
        <v>2</v>
      </c>
      <c r="G347" t="s">
        <v>129</v>
      </c>
      <c r="H347">
        <v>1</v>
      </c>
      <c r="I347">
        <v>48.7</v>
      </c>
      <c r="J347">
        <v>51.3</v>
      </c>
      <c r="K347">
        <v>8</v>
      </c>
      <c r="L347">
        <v>5</v>
      </c>
      <c r="M347">
        <v>4</v>
      </c>
      <c r="N347">
        <v>2</v>
      </c>
      <c r="O347">
        <v>4</v>
      </c>
      <c r="P347">
        <v>2</v>
      </c>
      <c r="Q347">
        <v>0</v>
      </c>
      <c r="R347">
        <v>1</v>
      </c>
      <c r="S347">
        <v>85</v>
      </c>
      <c r="T347">
        <v>85.3</v>
      </c>
      <c r="U347">
        <v>3</v>
      </c>
      <c r="V347">
        <v>1</v>
      </c>
      <c r="W347">
        <v>72.7</v>
      </c>
      <c r="X347">
        <v>43.8</v>
      </c>
      <c r="Y347">
        <v>42.9</v>
      </c>
      <c r="Z347">
        <v>57.1</v>
      </c>
      <c r="AA347" s="17">
        <f t="shared" si="21"/>
        <v>39164</v>
      </c>
      <c r="AB347">
        <f t="shared" si="22"/>
        <v>39000</v>
      </c>
      <c r="AC347" s="18">
        <f t="shared" si="23"/>
        <v>100</v>
      </c>
      <c r="AD347" s="22">
        <f t="shared" si="24"/>
        <v>100</v>
      </c>
    </row>
    <row r="348" spans="1:30" x14ac:dyDescent="0.25">
      <c r="A348" t="s">
        <v>192</v>
      </c>
      <c r="B348" s="20">
        <v>45060</v>
      </c>
      <c r="C348" t="s">
        <v>174</v>
      </c>
      <c r="D348" s="4">
        <v>17075</v>
      </c>
      <c r="E348" t="s">
        <v>60</v>
      </c>
      <c r="F348">
        <v>2</v>
      </c>
      <c r="G348" t="s">
        <v>130</v>
      </c>
      <c r="H348">
        <v>0</v>
      </c>
      <c r="I348">
        <v>53.1</v>
      </c>
      <c r="J348">
        <v>46.9</v>
      </c>
      <c r="K348">
        <v>24</v>
      </c>
      <c r="L348">
        <v>4</v>
      </c>
      <c r="M348">
        <v>10</v>
      </c>
      <c r="N348">
        <v>4</v>
      </c>
      <c r="O348">
        <v>9</v>
      </c>
      <c r="P348">
        <v>0</v>
      </c>
      <c r="Q348">
        <v>5</v>
      </c>
      <c r="R348">
        <v>0</v>
      </c>
      <c r="S348">
        <v>81.2</v>
      </c>
      <c r="T348">
        <v>79</v>
      </c>
      <c r="U348">
        <v>5</v>
      </c>
      <c r="V348">
        <v>0</v>
      </c>
      <c r="W348">
        <v>55</v>
      </c>
      <c r="X348">
        <v>81.8</v>
      </c>
      <c r="Y348">
        <v>48.6</v>
      </c>
      <c r="Z348">
        <v>51.4</v>
      </c>
      <c r="AA348" s="17">
        <f t="shared" si="21"/>
        <v>14075</v>
      </c>
      <c r="AB348">
        <f t="shared" si="22"/>
        <v>15250</v>
      </c>
      <c r="AC348" s="18">
        <f t="shared" si="23"/>
        <v>92</v>
      </c>
      <c r="AD348" s="22">
        <f t="shared" si="24"/>
        <v>92</v>
      </c>
    </row>
    <row r="349" spans="1:30" x14ac:dyDescent="0.25">
      <c r="A349" t="s">
        <v>192</v>
      </c>
      <c r="B349" s="20">
        <v>45060</v>
      </c>
      <c r="C349" t="s">
        <v>144</v>
      </c>
      <c r="D349" s="4">
        <v>39376</v>
      </c>
      <c r="E349" t="s">
        <v>23</v>
      </c>
      <c r="F349">
        <v>0</v>
      </c>
      <c r="G349" t="s">
        <v>19</v>
      </c>
      <c r="H349">
        <v>3</v>
      </c>
      <c r="I349">
        <v>36.799999999999997</v>
      </c>
      <c r="J349">
        <v>63.2</v>
      </c>
      <c r="K349">
        <v>7</v>
      </c>
      <c r="L349">
        <v>9</v>
      </c>
      <c r="M349">
        <v>3</v>
      </c>
      <c r="N349">
        <v>4</v>
      </c>
      <c r="O349">
        <v>3</v>
      </c>
      <c r="P349">
        <v>3</v>
      </c>
      <c r="Q349">
        <v>1</v>
      </c>
      <c r="R349">
        <v>2</v>
      </c>
      <c r="S349">
        <v>85</v>
      </c>
      <c r="T349">
        <v>91</v>
      </c>
      <c r="U349">
        <v>1</v>
      </c>
      <c r="V349">
        <v>1</v>
      </c>
      <c r="W349">
        <v>68.8</v>
      </c>
      <c r="X349">
        <v>71.400000000000006</v>
      </c>
      <c r="Y349">
        <v>50</v>
      </c>
      <c r="Z349">
        <v>50</v>
      </c>
      <c r="AA349" s="17">
        <f t="shared" si="21"/>
        <v>36376</v>
      </c>
      <c r="AB349">
        <f t="shared" si="22"/>
        <v>36572</v>
      </c>
      <c r="AC349" s="18">
        <f t="shared" si="23"/>
        <v>99</v>
      </c>
      <c r="AD349" s="22">
        <f t="shared" si="24"/>
        <v>99</v>
      </c>
    </row>
    <row r="350" spans="1:30" x14ac:dyDescent="0.25">
      <c r="A350" t="s">
        <v>192</v>
      </c>
      <c r="B350" s="20">
        <v>45060</v>
      </c>
      <c r="C350" t="s">
        <v>172</v>
      </c>
      <c r="D350" s="4">
        <v>60139</v>
      </c>
      <c r="E350" t="s">
        <v>20</v>
      </c>
      <c r="F350">
        <v>0</v>
      </c>
      <c r="G350" t="s">
        <v>126</v>
      </c>
      <c r="H350">
        <v>3</v>
      </c>
      <c r="I350">
        <v>40.9</v>
      </c>
      <c r="J350">
        <v>59.1</v>
      </c>
      <c r="K350">
        <v>14</v>
      </c>
      <c r="L350">
        <v>12</v>
      </c>
      <c r="M350">
        <v>2</v>
      </c>
      <c r="N350">
        <v>6</v>
      </c>
      <c r="O350">
        <v>8</v>
      </c>
      <c r="P350">
        <v>5</v>
      </c>
      <c r="Q350">
        <v>4</v>
      </c>
      <c r="R350">
        <v>1</v>
      </c>
      <c r="S350">
        <v>76.7</v>
      </c>
      <c r="T350">
        <v>83.4</v>
      </c>
      <c r="U350">
        <v>1</v>
      </c>
      <c r="V350">
        <v>2</v>
      </c>
      <c r="W350">
        <v>30</v>
      </c>
      <c r="X350">
        <v>60</v>
      </c>
      <c r="Y350">
        <v>42.1</v>
      </c>
      <c r="Z350">
        <v>57.9</v>
      </c>
      <c r="AA350" s="17">
        <f t="shared" si="21"/>
        <v>57139</v>
      </c>
      <c r="AB350">
        <f t="shared" si="22"/>
        <v>57704</v>
      </c>
      <c r="AC350" s="18">
        <f t="shared" si="23"/>
        <v>99</v>
      </c>
      <c r="AD350" s="22">
        <f t="shared" si="24"/>
        <v>99</v>
      </c>
    </row>
    <row r="351" spans="1:30" x14ac:dyDescent="0.25">
      <c r="A351" t="s">
        <v>191</v>
      </c>
      <c r="B351" s="20">
        <v>45061</v>
      </c>
      <c r="C351" t="s">
        <v>176</v>
      </c>
      <c r="D351" s="4">
        <v>32225</v>
      </c>
      <c r="E351" t="s">
        <v>36</v>
      </c>
      <c r="F351">
        <v>0</v>
      </c>
      <c r="G351" t="s">
        <v>17</v>
      </c>
      <c r="H351">
        <v>3</v>
      </c>
      <c r="I351">
        <v>33.1</v>
      </c>
      <c r="J351">
        <v>66.900000000000006</v>
      </c>
      <c r="K351">
        <v>4</v>
      </c>
      <c r="L351">
        <v>16</v>
      </c>
      <c r="M351">
        <v>4</v>
      </c>
      <c r="N351">
        <v>5</v>
      </c>
      <c r="O351">
        <v>0</v>
      </c>
      <c r="P351">
        <v>6</v>
      </c>
      <c r="Q351">
        <v>0</v>
      </c>
      <c r="R351">
        <v>5</v>
      </c>
      <c r="S351">
        <v>69.5</v>
      </c>
      <c r="T351">
        <v>85.3</v>
      </c>
      <c r="U351">
        <v>1</v>
      </c>
      <c r="V351">
        <v>3</v>
      </c>
      <c r="W351">
        <v>47.2</v>
      </c>
      <c r="X351">
        <v>66.7</v>
      </c>
      <c r="Y351">
        <v>52.2</v>
      </c>
      <c r="Z351">
        <v>47.8</v>
      </c>
      <c r="AA351" s="17">
        <f t="shared" si="21"/>
        <v>29225</v>
      </c>
      <c r="AB351">
        <f t="shared" si="22"/>
        <v>29261</v>
      </c>
      <c r="AC351" s="18">
        <f t="shared" si="23"/>
        <v>99</v>
      </c>
      <c r="AD351" s="22">
        <f t="shared" si="24"/>
        <v>99</v>
      </c>
    </row>
    <row r="352" spans="1:30" x14ac:dyDescent="0.25">
      <c r="A352" t="s">
        <v>190</v>
      </c>
      <c r="B352" s="20">
        <v>45064</v>
      </c>
      <c r="C352" t="s">
        <v>182</v>
      </c>
      <c r="D352" s="4">
        <v>52122</v>
      </c>
      <c r="E352" t="s">
        <v>128</v>
      </c>
      <c r="F352">
        <v>4</v>
      </c>
      <c r="G352" t="s">
        <v>126</v>
      </c>
      <c r="H352">
        <v>1</v>
      </c>
      <c r="I352">
        <v>33.700000000000003</v>
      </c>
      <c r="J352">
        <v>66.3</v>
      </c>
      <c r="K352">
        <v>22</v>
      </c>
      <c r="L352">
        <v>8</v>
      </c>
      <c r="M352">
        <v>9</v>
      </c>
      <c r="N352">
        <v>2</v>
      </c>
      <c r="O352">
        <v>6</v>
      </c>
      <c r="P352">
        <v>3</v>
      </c>
      <c r="Q352">
        <v>7</v>
      </c>
      <c r="R352">
        <v>3</v>
      </c>
      <c r="S352">
        <v>70.900000000000006</v>
      </c>
      <c r="T352">
        <v>84.1</v>
      </c>
      <c r="U352">
        <v>5</v>
      </c>
      <c r="V352">
        <v>1</v>
      </c>
      <c r="W352">
        <v>90.9</v>
      </c>
      <c r="X352">
        <v>71.400000000000006</v>
      </c>
      <c r="Y352">
        <v>68.2</v>
      </c>
      <c r="Z352">
        <v>31.8</v>
      </c>
      <c r="AA352" s="17">
        <f t="shared" si="21"/>
        <v>49122</v>
      </c>
      <c r="AB352">
        <f t="shared" si="22"/>
        <v>49350</v>
      </c>
      <c r="AC352" s="18">
        <f t="shared" si="23"/>
        <v>99</v>
      </c>
      <c r="AD352" s="22">
        <f t="shared" si="24"/>
        <v>99</v>
      </c>
    </row>
    <row r="353" spans="1:30" x14ac:dyDescent="0.25">
      <c r="A353" t="s">
        <v>186</v>
      </c>
      <c r="B353" s="20">
        <v>45066</v>
      </c>
      <c r="C353" t="s">
        <v>188</v>
      </c>
      <c r="D353" s="4">
        <v>10240</v>
      </c>
      <c r="E353" t="s">
        <v>57</v>
      </c>
      <c r="F353">
        <v>0</v>
      </c>
      <c r="G353" t="s">
        <v>127</v>
      </c>
      <c r="H353">
        <v>1</v>
      </c>
      <c r="I353">
        <v>41.5</v>
      </c>
      <c r="J353">
        <v>58.5</v>
      </c>
      <c r="K353">
        <v>10</v>
      </c>
      <c r="L353">
        <v>20</v>
      </c>
      <c r="M353">
        <v>4</v>
      </c>
      <c r="N353">
        <v>5</v>
      </c>
      <c r="O353">
        <v>3</v>
      </c>
      <c r="P353">
        <v>8</v>
      </c>
      <c r="Q353">
        <v>3</v>
      </c>
      <c r="R353">
        <v>7</v>
      </c>
      <c r="S353">
        <v>85.4</v>
      </c>
      <c r="T353">
        <v>85.6</v>
      </c>
      <c r="U353">
        <v>1</v>
      </c>
      <c r="V353">
        <v>0</v>
      </c>
      <c r="W353">
        <v>58.3</v>
      </c>
      <c r="X353">
        <v>73.099999999999994</v>
      </c>
      <c r="Y353">
        <v>35</v>
      </c>
      <c r="Z353">
        <v>65</v>
      </c>
      <c r="AA353" s="17">
        <f t="shared" si="21"/>
        <v>7240</v>
      </c>
      <c r="AB353">
        <f t="shared" si="22"/>
        <v>9879</v>
      </c>
      <c r="AC353" s="18">
        <f t="shared" si="23"/>
        <v>73</v>
      </c>
      <c r="AD353" s="22">
        <f t="shared" si="24"/>
        <v>73</v>
      </c>
    </row>
    <row r="354" spans="1:30" x14ac:dyDescent="0.25">
      <c r="A354" t="s">
        <v>186</v>
      </c>
      <c r="B354" s="20">
        <v>45066</v>
      </c>
      <c r="C354" t="s">
        <v>145</v>
      </c>
      <c r="D354" s="4">
        <v>24356</v>
      </c>
      <c r="E354" t="s">
        <v>44</v>
      </c>
      <c r="F354">
        <v>2</v>
      </c>
      <c r="G354" t="s">
        <v>29</v>
      </c>
      <c r="H354">
        <v>2</v>
      </c>
      <c r="I354">
        <v>49.5</v>
      </c>
      <c r="J354">
        <v>50.5</v>
      </c>
      <c r="K354">
        <v>11</v>
      </c>
      <c r="L354">
        <v>11</v>
      </c>
      <c r="M354">
        <v>4</v>
      </c>
      <c r="N354">
        <v>5</v>
      </c>
      <c r="O354">
        <v>3</v>
      </c>
      <c r="P354">
        <v>3</v>
      </c>
      <c r="Q354">
        <v>4</v>
      </c>
      <c r="R354">
        <v>3</v>
      </c>
      <c r="S354">
        <v>75.3</v>
      </c>
      <c r="T354">
        <v>78.400000000000006</v>
      </c>
      <c r="U354">
        <v>2</v>
      </c>
      <c r="V354">
        <v>1</v>
      </c>
      <c r="W354">
        <v>43.8</v>
      </c>
      <c r="X354">
        <v>33.299999999999997</v>
      </c>
      <c r="Y354">
        <v>52</v>
      </c>
      <c r="Z354">
        <v>48</v>
      </c>
      <c r="AA354" s="17">
        <f t="shared" si="21"/>
        <v>21356</v>
      </c>
      <c r="AB354">
        <f t="shared" si="22"/>
        <v>25700</v>
      </c>
      <c r="AC354" s="18">
        <f t="shared" si="23"/>
        <v>83</v>
      </c>
      <c r="AD354" s="22">
        <f t="shared" si="24"/>
        <v>83</v>
      </c>
    </row>
    <row r="355" spans="1:30" x14ac:dyDescent="0.25">
      <c r="A355" t="s">
        <v>186</v>
      </c>
      <c r="B355" s="20">
        <v>45066</v>
      </c>
      <c r="C355" t="s">
        <v>146</v>
      </c>
      <c r="D355" s="4">
        <v>53306</v>
      </c>
      <c r="E355" t="s">
        <v>17</v>
      </c>
      <c r="F355">
        <v>1</v>
      </c>
      <c r="G355" t="s">
        <v>12</v>
      </c>
      <c r="H355">
        <v>1</v>
      </c>
      <c r="I355">
        <v>66.3</v>
      </c>
      <c r="J355">
        <v>33.700000000000003</v>
      </c>
      <c r="K355">
        <v>10</v>
      </c>
      <c r="L355">
        <v>6</v>
      </c>
      <c r="M355">
        <v>5</v>
      </c>
      <c r="N355">
        <v>3</v>
      </c>
      <c r="O355">
        <v>1</v>
      </c>
      <c r="P355">
        <v>2</v>
      </c>
      <c r="Q355">
        <v>4</v>
      </c>
      <c r="R355">
        <v>1</v>
      </c>
      <c r="S355">
        <v>84.3</v>
      </c>
      <c r="T355">
        <v>66.7</v>
      </c>
      <c r="U355">
        <v>1</v>
      </c>
      <c r="V355">
        <v>2</v>
      </c>
      <c r="W355">
        <v>61.1</v>
      </c>
      <c r="X355">
        <v>51.7</v>
      </c>
      <c r="Y355">
        <v>65</v>
      </c>
      <c r="Z355">
        <v>35</v>
      </c>
      <c r="AA355" s="17">
        <f t="shared" si="21"/>
        <v>50306</v>
      </c>
      <c r="AB355">
        <f t="shared" si="22"/>
        <v>58000</v>
      </c>
      <c r="AC355" s="18">
        <f t="shared" si="23"/>
        <v>86</v>
      </c>
      <c r="AD355" s="22">
        <f t="shared" si="24"/>
        <v>86</v>
      </c>
    </row>
    <row r="356" spans="1:30" x14ac:dyDescent="0.25">
      <c r="A356" t="s">
        <v>186</v>
      </c>
      <c r="B356" s="20">
        <v>45066</v>
      </c>
      <c r="C356" t="s">
        <v>189</v>
      </c>
      <c r="D356" s="4">
        <v>29514</v>
      </c>
      <c r="E356" t="s">
        <v>123</v>
      </c>
      <c r="F356">
        <v>1</v>
      </c>
      <c r="G356" t="s">
        <v>20</v>
      </c>
      <c r="H356">
        <v>0</v>
      </c>
      <c r="I356">
        <v>18.3</v>
      </c>
      <c r="J356">
        <v>81.7</v>
      </c>
      <c r="K356">
        <v>6</v>
      </c>
      <c r="L356">
        <v>11</v>
      </c>
      <c r="M356">
        <v>2</v>
      </c>
      <c r="N356">
        <v>3</v>
      </c>
      <c r="O356">
        <v>3</v>
      </c>
      <c r="P356">
        <v>7</v>
      </c>
      <c r="Q356">
        <v>1</v>
      </c>
      <c r="R356">
        <v>1</v>
      </c>
      <c r="S356">
        <v>49.7</v>
      </c>
      <c r="T356">
        <v>89</v>
      </c>
      <c r="U356">
        <v>0</v>
      </c>
      <c r="V356">
        <v>0</v>
      </c>
      <c r="W356">
        <v>66.7</v>
      </c>
      <c r="X356">
        <v>37.5</v>
      </c>
      <c r="Y356">
        <v>25</v>
      </c>
      <c r="Z356">
        <v>75</v>
      </c>
      <c r="AA356" s="17">
        <f t="shared" si="21"/>
        <v>26514</v>
      </c>
      <c r="AB356">
        <f t="shared" si="22"/>
        <v>27445</v>
      </c>
      <c r="AC356" s="18">
        <f t="shared" si="23"/>
        <v>96</v>
      </c>
      <c r="AD356" s="22">
        <f t="shared" si="24"/>
        <v>96</v>
      </c>
    </row>
    <row r="357" spans="1:30" x14ac:dyDescent="0.25">
      <c r="A357" t="s">
        <v>186</v>
      </c>
      <c r="B357" s="20">
        <v>45066</v>
      </c>
      <c r="C357" t="s">
        <v>187</v>
      </c>
      <c r="D357" s="4">
        <v>61514</v>
      </c>
      <c r="E357" t="s">
        <v>129</v>
      </c>
      <c r="F357">
        <v>1</v>
      </c>
      <c r="G357" t="s">
        <v>60</v>
      </c>
      <c r="H357">
        <v>3</v>
      </c>
      <c r="I357">
        <v>61.8</v>
      </c>
      <c r="J357">
        <v>38.200000000000003</v>
      </c>
      <c r="K357">
        <v>22</v>
      </c>
      <c r="L357">
        <v>11</v>
      </c>
      <c r="M357">
        <v>8</v>
      </c>
      <c r="N357">
        <v>4</v>
      </c>
      <c r="O357">
        <v>6</v>
      </c>
      <c r="P357">
        <v>6</v>
      </c>
      <c r="Q357">
        <v>8</v>
      </c>
      <c r="R357">
        <v>1</v>
      </c>
      <c r="S357">
        <v>86.2</v>
      </c>
      <c r="T357">
        <v>77.7</v>
      </c>
      <c r="U357">
        <v>2</v>
      </c>
      <c r="V357">
        <v>2</v>
      </c>
      <c r="W357">
        <v>50</v>
      </c>
      <c r="X357">
        <v>54.5</v>
      </c>
      <c r="Y357">
        <v>59.1</v>
      </c>
      <c r="Z357">
        <v>40.9</v>
      </c>
      <c r="AA357" s="17">
        <f t="shared" si="21"/>
        <v>58514</v>
      </c>
      <c r="AB357">
        <f t="shared" si="22"/>
        <v>59850</v>
      </c>
      <c r="AC357" s="18">
        <f t="shared" si="23"/>
        <v>97</v>
      </c>
      <c r="AD357" s="22">
        <f t="shared" si="24"/>
        <v>97</v>
      </c>
    </row>
    <row r="358" spans="1:30" x14ac:dyDescent="0.25">
      <c r="A358" t="s">
        <v>186</v>
      </c>
      <c r="B358" s="20">
        <v>45066</v>
      </c>
      <c r="C358" t="s">
        <v>152</v>
      </c>
      <c r="D358" s="4">
        <v>31684</v>
      </c>
      <c r="E358" t="s">
        <v>173</v>
      </c>
      <c r="F358">
        <v>1</v>
      </c>
      <c r="G358" t="s">
        <v>23</v>
      </c>
      <c r="H358">
        <v>1</v>
      </c>
      <c r="I358">
        <v>53.2</v>
      </c>
      <c r="J358">
        <v>46.8</v>
      </c>
      <c r="K358">
        <v>13</v>
      </c>
      <c r="L358">
        <v>19</v>
      </c>
      <c r="M358">
        <v>5</v>
      </c>
      <c r="N358">
        <v>4</v>
      </c>
      <c r="O358">
        <v>6</v>
      </c>
      <c r="P358">
        <v>9</v>
      </c>
      <c r="Q358">
        <v>2</v>
      </c>
      <c r="R358">
        <v>6</v>
      </c>
      <c r="S358">
        <v>78.7</v>
      </c>
      <c r="T358">
        <v>75.900000000000006</v>
      </c>
      <c r="U358">
        <v>0</v>
      </c>
      <c r="V358">
        <v>3</v>
      </c>
      <c r="W358">
        <v>41.7</v>
      </c>
      <c r="X358">
        <v>52.6</v>
      </c>
      <c r="Y358">
        <v>37.5</v>
      </c>
      <c r="Z358">
        <v>62.5</v>
      </c>
      <c r="AA358" s="17">
        <f t="shared" si="21"/>
        <v>28684</v>
      </c>
      <c r="AB358">
        <f t="shared" si="22"/>
        <v>29050</v>
      </c>
      <c r="AC358" s="18">
        <f t="shared" si="23"/>
        <v>98</v>
      </c>
      <c r="AD358" s="22">
        <f t="shared" si="24"/>
        <v>98</v>
      </c>
    </row>
    <row r="359" spans="1:30" x14ac:dyDescent="0.25">
      <c r="A359" t="s">
        <v>183</v>
      </c>
      <c r="B359" s="20">
        <v>45067</v>
      </c>
      <c r="C359" t="s">
        <v>184</v>
      </c>
      <c r="D359" s="4">
        <v>62478</v>
      </c>
      <c r="E359" t="s">
        <v>130</v>
      </c>
      <c r="F359">
        <v>3</v>
      </c>
      <c r="G359" t="s">
        <v>27</v>
      </c>
      <c r="H359">
        <v>1</v>
      </c>
      <c r="I359">
        <v>58.8</v>
      </c>
      <c r="J359">
        <v>41.2</v>
      </c>
      <c r="K359">
        <v>19</v>
      </c>
      <c r="L359">
        <v>12</v>
      </c>
      <c r="M359">
        <v>9</v>
      </c>
      <c r="N359">
        <v>3</v>
      </c>
      <c r="O359">
        <v>4</v>
      </c>
      <c r="P359">
        <v>6</v>
      </c>
      <c r="Q359">
        <v>6</v>
      </c>
      <c r="R359">
        <v>3</v>
      </c>
      <c r="S359">
        <v>80.900000000000006</v>
      </c>
      <c r="T359">
        <v>72.900000000000006</v>
      </c>
      <c r="U359">
        <v>4</v>
      </c>
      <c r="V359">
        <v>0</v>
      </c>
      <c r="W359">
        <v>72.7</v>
      </c>
      <c r="X359">
        <v>60.9</v>
      </c>
      <c r="Y359">
        <v>73.900000000000006</v>
      </c>
      <c r="Z359">
        <v>26.1</v>
      </c>
      <c r="AA359" s="17">
        <f t="shared" si="21"/>
        <v>59478</v>
      </c>
      <c r="AB359">
        <f t="shared" si="22"/>
        <v>65013</v>
      </c>
      <c r="AC359" s="18">
        <f t="shared" si="23"/>
        <v>91</v>
      </c>
      <c r="AD359" s="22">
        <f t="shared" si="24"/>
        <v>91</v>
      </c>
    </row>
    <row r="360" spans="1:30" x14ac:dyDescent="0.25">
      <c r="A360" t="s">
        <v>183</v>
      </c>
      <c r="B360" s="20">
        <v>45067</v>
      </c>
      <c r="C360" t="s">
        <v>180</v>
      </c>
      <c r="D360" s="4">
        <v>31507</v>
      </c>
      <c r="E360" t="s">
        <v>126</v>
      </c>
      <c r="F360">
        <v>3</v>
      </c>
      <c r="G360" t="s">
        <v>28</v>
      </c>
      <c r="H360">
        <v>1</v>
      </c>
      <c r="I360">
        <v>63</v>
      </c>
      <c r="J360">
        <v>37</v>
      </c>
      <c r="K360">
        <v>26</v>
      </c>
      <c r="L360">
        <v>5</v>
      </c>
      <c r="M360">
        <v>8</v>
      </c>
      <c r="N360">
        <v>1</v>
      </c>
      <c r="O360">
        <v>11</v>
      </c>
      <c r="P360">
        <v>3</v>
      </c>
      <c r="Q360">
        <v>7</v>
      </c>
      <c r="R360">
        <v>1</v>
      </c>
      <c r="S360">
        <v>91.7</v>
      </c>
      <c r="T360">
        <v>79.599999999999994</v>
      </c>
      <c r="U360">
        <v>1</v>
      </c>
      <c r="V360">
        <v>1</v>
      </c>
      <c r="W360">
        <v>69.2</v>
      </c>
      <c r="X360">
        <v>62.5</v>
      </c>
      <c r="Y360">
        <v>73.3</v>
      </c>
      <c r="Z360">
        <v>26.7</v>
      </c>
      <c r="AA360" s="17">
        <f t="shared" si="21"/>
        <v>28507</v>
      </c>
      <c r="AB360">
        <f t="shared" si="22"/>
        <v>28876</v>
      </c>
      <c r="AC360" s="18">
        <f t="shared" si="23"/>
        <v>98</v>
      </c>
      <c r="AD360" s="22">
        <f t="shared" si="24"/>
        <v>98</v>
      </c>
    </row>
    <row r="361" spans="1:30" x14ac:dyDescent="0.25">
      <c r="A361" t="s">
        <v>183</v>
      </c>
      <c r="B361" s="20">
        <v>45067</v>
      </c>
      <c r="C361" t="s">
        <v>185</v>
      </c>
      <c r="D361" s="4">
        <v>53490</v>
      </c>
      <c r="E361" t="s">
        <v>19</v>
      </c>
      <c r="F361">
        <v>1</v>
      </c>
      <c r="G361" t="s">
        <v>21</v>
      </c>
      <c r="H361">
        <v>0</v>
      </c>
      <c r="I361">
        <v>64.599999999999994</v>
      </c>
      <c r="J361">
        <v>35.4</v>
      </c>
      <c r="K361">
        <v>15</v>
      </c>
      <c r="L361">
        <v>13</v>
      </c>
      <c r="M361">
        <v>2</v>
      </c>
      <c r="N361">
        <v>6</v>
      </c>
      <c r="O361">
        <v>7</v>
      </c>
      <c r="P361">
        <v>4</v>
      </c>
      <c r="Q361">
        <v>6</v>
      </c>
      <c r="R361">
        <v>3</v>
      </c>
      <c r="S361">
        <v>91.5</v>
      </c>
      <c r="T361">
        <v>86.8</v>
      </c>
      <c r="U361">
        <v>2</v>
      </c>
      <c r="V361">
        <v>2</v>
      </c>
      <c r="W361">
        <v>75</v>
      </c>
      <c r="X361">
        <v>70.599999999999994</v>
      </c>
      <c r="Y361">
        <v>44.4</v>
      </c>
      <c r="Z361">
        <v>55.6</v>
      </c>
      <c r="AA361" s="17">
        <f t="shared" si="21"/>
        <v>50490</v>
      </c>
      <c r="AB361">
        <f t="shared" si="22"/>
        <v>50400</v>
      </c>
      <c r="AC361" s="18">
        <f t="shared" si="23"/>
        <v>100</v>
      </c>
      <c r="AD361" s="22">
        <f t="shared" si="24"/>
        <v>100</v>
      </c>
    </row>
    <row r="362" spans="1:30" x14ac:dyDescent="0.25">
      <c r="A362" t="s">
        <v>181</v>
      </c>
      <c r="B362" s="20">
        <v>45068</v>
      </c>
      <c r="C362" t="s">
        <v>182</v>
      </c>
      <c r="D362" s="4">
        <v>52152</v>
      </c>
      <c r="E362" t="s">
        <v>128</v>
      </c>
      <c r="F362">
        <v>0</v>
      </c>
      <c r="G362" t="s">
        <v>36</v>
      </c>
      <c r="H362">
        <v>0</v>
      </c>
      <c r="I362">
        <v>77.599999999999994</v>
      </c>
      <c r="J362">
        <v>22.4</v>
      </c>
      <c r="K362">
        <v>23</v>
      </c>
      <c r="L362">
        <v>1</v>
      </c>
      <c r="M362">
        <v>4</v>
      </c>
      <c r="N362">
        <v>1</v>
      </c>
      <c r="O362">
        <v>13</v>
      </c>
      <c r="P362">
        <v>0</v>
      </c>
      <c r="Q362">
        <v>6</v>
      </c>
      <c r="R362">
        <v>0</v>
      </c>
      <c r="S362">
        <v>89.5</v>
      </c>
      <c r="T362">
        <v>58.9</v>
      </c>
      <c r="U362">
        <v>1</v>
      </c>
      <c r="V362">
        <v>0</v>
      </c>
      <c r="W362">
        <v>33.299999999999997</v>
      </c>
      <c r="X362">
        <v>47.1</v>
      </c>
      <c r="Y362">
        <v>59.4</v>
      </c>
      <c r="Z362">
        <v>40.6</v>
      </c>
      <c r="AA362" s="17">
        <f t="shared" si="21"/>
        <v>49152</v>
      </c>
      <c r="AB362">
        <f t="shared" si="22"/>
        <v>49350</v>
      </c>
      <c r="AC362" s="18">
        <f t="shared" si="23"/>
        <v>99</v>
      </c>
      <c r="AD362" s="22">
        <f t="shared" si="24"/>
        <v>99</v>
      </c>
    </row>
    <row r="363" spans="1:30" x14ac:dyDescent="0.25">
      <c r="A363" t="s">
        <v>179</v>
      </c>
      <c r="B363" s="20">
        <v>45070</v>
      </c>
      <c r="C363" t="s">
        <v>180</v>
      </c>
      <c r="D363" s="4">
        <v>31388</v>
      </c>
      <c r="E363" t="s">
        <v>126</v>
      </c>
      <c r="F363">
        <v>1</v>
      </c>
      <c r="G363" t="s">
        <v>19</v>
      </c>
      <c r="H363">
        <v>1</v>
      </c>
      <c r="I363">
        <v>39.6</v>
      </c>
      <c r="J363">
        <v>60.4</v>
      </c>
      <c r="K363">
        <v>20</v>
      </c>
      <c r="L363">
        <v>13</v>
      </c>
      <c r="M363">
        <v>7</v>
      </c>
      <c r="N363">
        <v>4</v>
      </c>
      <c r="O363">
        <v>6</v>
      </c>
      <c r="P363">
        <v>6</v>
      </c>
      <c r="Q363">
        <v>7</v>
      </c>
      <c r="R363">
        <v>3</v>
      </c>
      <c r="S363">
        <v>84.2</v>
      </c>
      <c r="T363">
        <v>89</v>
      </c>
      <c r="U363">
        <v>2</v>
      </c>
      <c r="V363">
        <v>3</v>
      </c>
      <c r="W363">
        <v>50</v>
      </c>
      <c r="X363">
        <v>33.299999999999997</v>
      </c>
      <c r="Y363">
        <v>42.9</v>
      </c>
      <c r="Z363">
        <v>57.1</v>
      </c>
      <c r="AA363" s="17">
        <f t="shared" si="21"/>
        <v>28388</v>
      </c>
      <c r="AB363">
        <f t="shared" si="22"/>
        <v>28876</v>
      </c>
      <c r="AC363" s="18">
        <f t="shared" si="23"/>
        <v>98</v>
      </c>
      <c r="AD363" s="22">
        <f t="shared" si="24"/>
        <v>98</v>
      </c>
    </row>
    <row r="364" spans="1:30" x14ac:dyDescent="0.25">
      <c r="A364" t="s">
        <v>178</v>
      </c>
      <c r="B364" s="20">
        <v>45071</v>
      </c>
      <c r="C364" t="s">
        <v>148</v>
      </c>
      <c r="D364" s="4">
        <v>73561</v>
      </c>
      <c r="E364" t="s">
        <v>127</v>
      </c>
      <c r="F364">
        <v>4</v>
      </c>
      <c r="G364" t="s">
        <v>21</v>
      </c>
      <c r="H364">
        <v>1</v>
      </c>
      <c r="I364">
        <v>41.1</v>
      </c>
      <c r="J364">
        <v>58.9</v>
      </c>
      <c r="K364">
        <v>18</v>
      </c>
      <c r="L364">
        <v>14</v>
      </c>
      <c r="M364">
        <v>9</v>
      </c>
      <c r="N364">
        <v>5</v>
      </c>
      <c r="O364">
        <v>4</v>
      </c>
      <c r="P364">
        <v>5</v>
      </c>
      <c r="Q364">
        <v>5</v>
      </c>
      <c r="R364">
        <v>4</v>
      </c>
      <c r="S364">
        <v>84</v>
      </c>
      <c r="T364">
        <v>90.4</v>
      </c>
      <c r="U364">
        <v>4</v>
      </c>
      <c r="V364">
        <v>3</v>
      </c>
      <c r="W364">
        <v>52.6</v>
      </c>
      <c r="X364">
        <v>61.9</v>
      </c>
      <c r="Y364">
        <v>33.299999999999997</v>
      </c>
      <c r="Z364">
        <v>66.7</v>
      </c>
      <c r="AA364" s="17">
        <f t="shared" si="21"/>
        <v>70561</v>
      </c>
      <c r="AB364">
        <f t="shared" si="22"/>
        <v>71310</v>
      </c>
      <c r="AC364" s="18">
        <f t="shared" si="23"/>
        <v>98</v>
      </c>
      <c r="AD364" s="22">
        <f t="shared" si="24"/>
        <v>98</v>
      </c>
    </row>
    <row r="365" spans="1:30" x14ac:dyDescent="0.25">
      <c r="A365" t="s">
        <v>171</v>
      </c>
      <c r="B365" s="20">
        <v>45074</v>
      </c>
      <c r="C365" t="s">
        <v>174</v>
      </c>
      <c r="D365" s="4">
        <v>17120</v>
      </c>
      <c r="E365" t="s">
        <v>60</v>
      </c>
      <c r="F365">
        <v>1</v>
      </c>
      <c r="G365" t="s">
        <v>19</v>
      </c>
      <c r="H365">
        <v>0</v>
      </c>
      <c r="I365">
        <v>34.4</v>
      </c>
      <c r="J365">
        <v>65.599999999999994</v>
      </c>
      <c r="K365">
        <v>11</v>
      </c>
      <c r="L365">
        <v>17</v>
      </c>
      <c r="M365">
        <v>4</v>
      </c>
      <c r="N365">
        <v>3</v>
      </c>
      <c r="O365">
        <v>4</v>
      </c>
      <c r="P365">
        <v>6</v>
      </c>
      <c r="Q365">
        <v>3</v>
      </c>
      <c r="R365">
        <v>8</v>
      </c>
      <c r="S365">
        <v>79.3</v>
      </c>
      <c r="T365">
        <v>89.8</v>
      </c>
      <c r="U365">
        <v>2</v>
      </c>
      <c r="V365">
        <v>1</v>
      </c>
      <c r="W365">
        <v>64.7</v>
      </c>
      <c r="X365">
        <v>35.700000000000003</v>
      </c>
      <c r="Y365">
        <v>50</v>
      </c>
      <c r="Z365">
        <v>50</v>
      </c>
      <c r="AA365" s="17">
        <f t="shared" si="21"/>
        <v>14120</v>
      </c>
      <c r="AB365">
        <f t="shared" si="22"/>
        <v>15250</v>
      </c>
      <c r="AC365" s="18">
        <f t="shared" si="23"/>
        <v>92</v>
      </c>
      <c r="AD365" s="22">
        <f t="shared" si="24"/>
        <v>92</v>
      </c>
    </row>
    <row r="366" spans="1:30" x14ac:dyDescent="0.25">
      <c r="A366" t="s">
        <v>171</v>
      </c>
      <c r="B366" s="20">
        <v>45074</v>
      </c>
      <c r="C366" t="s">
        <v>143</v>
      </c>
      <c r="D366" s="4">
        <v>25198</v>
      </c>
      <c r="E366" t="s">
        <v>29</v>
      </c>
      <c r="F366">
        <v>1</v>
      </c>
      <c r="G366" t="s">
        <v>123</v>
      </c>
      <c r="H366">
        <v>1</v>
      </c>
      <c r="I366">
        <v>66</v>
      </c>
      <c r="J366">
        <v>34</v>
      </c>
      <c r="K366">
        <v>15</v>
      </c>
      <c r="L366">
        <v>7</v>
      </c>
      <c r="M366">
        <v>3</v>
      </c>
      <c r="N366">
        <v>4</v>
      </c>
      <c r="O366">
        <v>8</v>
      </c>
      <c r="P366">
        <v>2</v>
      </c>
      <c r="Q366">
        <v>4</v>
      </c>
      <c r="R366">
        <v>1</v>
      </c>
      <c r="S366">
        <v>85.7</v>
      </c>
      <c r="T366">
        <v>69.900000000000006</v>
      </c>
      <c r="U366">
        <v>1</v>
      </c>
      <c r="V366">
        <v>0</v>
      </c>
      <c r="W366">
        <v>40</v>
      </c>
      <c r="X366">
        <v>52.6</v>
      </c>
      <c r="Y366">
        <v>58.3</v>
      </c>
      <c r="Z366">
        <v>41.7</v>
      </c>
      <c r="AA366" s="17">
        <f t="shared" si="21"/>
        <v>22198</v>
      </c>
      <c r="AB366">
        <f t="shared" si="22"/>
        <v>23486</v>
      </c>
      <c r="AC366" s="18">
        <f t="shared" si="23"/>
        <v>94</v>
      </c>
      <c r="AD366" s="22">
        <f t="shared" si="24"/>
        <v>94</v>
      </c>
    </row>
    <row r="367" spans="1:30" x14ac:dyDescent="0.25">
      <c r="A367" t="s">
        <v>171</v>
      </c>
      <c r="B367" s="20">
        <v>45074</v>
      </c>
      <c r="C367" t="s">
        <v>177</v>
      </c>
      <c r="D367" s="4">
        <v>31129</v>
      </c>
      <c r="E367" t="s">
        <v>28</v>
      </c>
      <c r="F367">
        <v>4</v>
      </c>
      <c r="G367" t="s">
        <v>17</v>
      </c>
      <c r="H367">
        <v>4</v>
      </c>
      <c r="I367">
        <v>30.9</v>
      </c>
      <c r="J367">
        <v>69.099999999999994</v>
      </c>
      <c r="K367">
        <v>15</v>
      </c>
      <c r="L367">
        <v>30</v>
      </c>
      <c r="M367">
        <v>10</v>
      </c>
      <c r="N367">
        <v>8</v>
      </c>
      <c r="O367">
        <v>5</v>
      </c>
      <c r="P367">
        <v>11</v>
      </c>
      <c r="Q367">
        <v>0</v>
      </c>
      <c r="R367">
        <v>11</v>
      </c>
      <c r="S367">
        <v>74.5</v>
      </c>
      <c r="T367">
        <v>86.9</v>
      </c>
      <c r="U367">
        <v>1</v>
      </c>
      <c r="V367">
        <v>5</v>
      </c>
      <c r="W367">
        <v>71.400000000000006</v>
      </c>
      <c r="X367">
        <v>75</v>
      </c>
      <c r="Y367">
        <v>54.5</v>
      </c>
      <c r="Z367">
        <v>45.5</v>
      </c>
      <c r="AA367" s="17">
        <f t="shared" si="21"/>
        <v>28129</v>
      </c>
      <c r="AB367">
        <f t="shared" si="22"/>
        <v>29384</v>
      </c>
      <c r="AC367" s="18">
        <f t="shared" si="23"/>
        <v>95</v>
      </c>
      <c r="AD367" s="22">
        <f t="shared" si="24"/>
        <v>95</v>
      </c>
    </row>
    <row r="368" spans="1:30" x14ac:dyDescent="0.25">
      <c r="A368" t="s">
        <v>171</v>
      </c>
      <c r="B368" s="20">
        <v>45074</v>
      </c>
      <c r="C368" t="s">
        <v>175</v>
      </c>
      <c r="D368" s="4">
        <v>36871</v>
      </c>
      <c r="E368" t="s">
        <v>27</v>
      </c>
      <c r="F368">
        <v>1</v>
      </c>
      <c r="G368" t="s">
        <v>129</v>
      </c>
      <c r="H368">
        <v>4</v>
      </c>
      <c r="I368">
        <v>52.1</v>
      </c>
      <c r="J368">
        <v>47.9</v>
      </c>
      <c r="K368">
        <v>19</v>
      </c>
      <c r="L368">
        <v>11</v>
      </c>
      <c r="M368">
        <v>2</v>
      </c>
      <c r="N368">
        <v>7</v>
      </c>
      <c r="O368">
        <v>7</v>
      </c>
      <c r="P368">
        <v>3</v>
      </c>
      <c r="Q368">
        <v>10</v>
      </c>
      <c r="R368">
        <v>1</v>
      </c>
      <c r="S368">
        <v>77.3</v>
      </c>
      <c r="T368">
        <v>78</v>
      </c>
      <c r="U368">
        <v>1</v>
      </c>
      <c r="V368">
        <v>3</v>
      </c>
      <c r="W368">
        <v>54.5</v>
      </c>
      <c r="X368">
        <v>46.2</v>
      </c>
      <c r="Y368">
        <v>54.5</v>
      </c>
      <c r="Z368">
        <v>45.5</v>
      </c>
      <c r="AA368" s="17">
        <f t="shared" si="21"/>
        <v>33871</v>
      </c>
      <c r="AB368">
        <f t="shared" si="22"/>
        <v>35220</v>
      </c>
      <c r="AC368" s="18">
        <f t="shared" si="23"/>
        <v>96</v>
      </c>
      <c r="AD368" s="22">
        <f t="shared" si="24"/>
        <v>96</v>
      </c>
    </row>
    <row r="369" spans="1:30" x14ac:dyDescent="0.25">
      <c r="A369" s="19" t="s">
        <v>171</v>
      </c>
      <c r="B369" s="20">
        <v>45074</v>
      </c>
      <c r="C369" t="s">
        <v>172</v>
      </c>
      <c r="D369" s="4">
        <v>60095</v>
      </c>
      <c r="E369" t="s">
        <v>20</v>
      </c>
      <c r="F369">
        <v>5</v>
      </c>
      <c r="G369" t="s">
        <v>173</v>
      </c>
      <c r="H369">
        <v>0</v>
      </c>
      <c r="I369">
        <v>51</v>
      </c>
      <c r="J369">
        <v>49</v>
      </c>
      <c r="K369">
        <v>14</v>
      </c>
      <c r="L369">
        <v>6</v>
      </c>
      <c r="M369">
        <v>8</v>
      </c>
      <c r="N369">
        <v>0</v>
      </c>
      <c r="O369">
        <v>4</v>
      </c>
      <c r="P369">
        <v>4</v>
      </c>
      <c r="Q369">
        <v>2</v>
      </c>
      <c r="R369">
        <v>2</v>
      </c>
      <c r="S369">
        <v>89</v>
      </c>
      <c r="T369">
        <v>88</v>
      </c>
      <c r="U369">
        <v>3</v>
      </c>
      <c r="V369">
        <v>0</v>
      </c>
      <c r="W369">
        <v>82.4</v>
      </c>
      <c r="X369">
        <v>44.4</v>
      </c>
      <c r="Y369">
        <v>47.8</v>
      </c>
      <c r="Z369">
        <v>52.2</v>
      </c>
      <c r="AA369" s="17">
        <f t="shared" si="21"/>
        <v>57095</v>
      </c>
      <c r="AB369">
        <f t="shared" si="22"/>
        <v>57704</v>
      </c>
      <c r="AC369" s="18">
        <f t="shared" si="23"/>
        <v>98</v>
      </c>
      <c r="AD369" s="22">
        <f t="shared" si="24"/>
        <v>98</v>
      </c>
    </row>
    <row r="370" spans="1:30" x14ac:dyDescent="0.25">
      <c r="A370" t="s">
        <v>171</v>
      </c>
      <c r="B370" s="20">
        <v>45074</v>
      </c>
      <c r="C370" t="s">
        <v>144</v>
      </c>
      <c r="D370" s="4">
        <v>39201</v>
      </c>
      <c r="E370" t="s">
        <v>23</v>
      </c>
      <c r="F370">
        <v>1</v>
      </c>
      <c r="G370" t="s">
        <v>57</v>
      </c>
      <c r="H370">
        <v>0</v>
      </c>
      <c r="I370">
        <v>37.799999999999997</v>
      </c>
      <c r="J370">
        <v>62.2</v>
      </c>
      <c r="K370">
        <v>13</v>
      </c>
      <c r="L370">
        <v>7</v>
      </c>
      <c r="M370">
        <v>6</v>
      </c>
      <c r="N370">
        <v>2</v>
      </c>
      <c r="O370">
        <v>5</v>
      </c>
      <c r="P370">
        <v>3</v>
      </c>
      <c r="Q370">
        <v>2</v>
      </c>
      <c r="R370">
        <v>2</v>
      </c>
      <c r="S370">
        <v>73.099999999999994</v>
      </c>
      <c r="T370">
        <v>83.9</v>
      </c>
      <c r="U370">
        <v>0</v>
      </c>
      <c r="V370">
        <v>0</v>
      </c>
      <c r="W370">
        <v>50</v>
      </c>
      <c r="X370">
        <v>58.3</v>
      </c>
      <c r="Y370">
        <v>53.8</v>
      </c>
      <c r="Z370">
        <v>46.2</v>
      </c>
      <c r="AA370" s="17">
        <f t="shared" si="21"/>
        <v>36201</v>
      </c>
      <c r="AB370">
        <f t="shared" si="22"/>
        <v>36572</v>
      </c>
      <c r="AC370" s="18">
        <f t="shared" si="23"/>
        <v>98</v>
      </c>
      <c r="AD370" s="22">
        <f t="shared" si="24"/>
        <v>98</v>
      </c>
    </row>
    <row r="371" spans="1:30" x14ac:dyDescent="0.25">
      <c r="A371" t="s">
        <v>171</v>
      </c>
      <c r="B371" s="20">
        <v>45074</v>
      </c>
      <c r="C371" t="s">
        <v>148</v>
      </c>
      <c r="D371" s="4">
        <v>73465</v>
      </c>
      <c r="E371" t="s">
        <v>127</v>
      </c>
      <c r="F371">
        <v>2</v>
      </c>
      <c r="G371" t="s">
        <v>44</v>
      </c>
      <c r="H371">
        <v>1</v>
      </c>
      <c r="I371">
        <v>53.2</v>
      </c>
      <c r="J371">
        <v>46.8</v>
      </c>
      <c r="K371">
        <v>21</v>
      </c>
      <c r="L371">
        <v>10</v>
      </c>
      <c r="M371">
        <v>8</v>
      </c>
      <c r="N371">
        <v>3</v>
      </c>
      <c r="O371">
        <v>7</v>
      </c>
      <c r="P371">
        <v>6</v>
      </c>
      <c r="Q371">
        <v>6</v>
      </c>
      <c r="R371">
        <v>1</v>
      </c>
      <c r="S371">
        <v>84.2</v>
      </c>
      <c r="T371">
        <v>84</v>
      </c>
      <c r="U371">
        <v>4</v>
      </c>
      <c r="V371">
        <v>2</v>
      </c>
      <c r="W371">
        <v>78.900000000000006</v>
      </c>
      <c r="X371">
        <v>66.7</v>
      </c>
      <c r="Y371">
        <v>46.4</v>
      </c>
      <c r="Z371">
        <v>53.6</v>
      </c>
      <c r="AA371" s="17">
        <f t="shared" si="21"/>
        <v>70465</v>
      </c>
      <c r="AB371">
        <f t="shared" si="22"/>
        <v>71310</v>
      </c>
      <c r="AC371" s="18">
        <f t="shared" si="23"/>
        <v>98</v>
      </c>
      <c r="AD371" s="22">
        <f t="shared" si="24"/>
        <v>98</v>
      </c>
    </row>
    <row r="372" spans="1:30" x14ac:dyDescent="0.25">
      <c r="A372" t="s">
        <v>171</v>
      </c>
      <c r="B372" s="20">
        <v>45074</v>
      </c>
      <c r="C372" t="s">
        <v>142</v>
      </c>
      <c r="D372" s="4">
        <v>40130</v>
      </c>
      <c r="E372" t="s">
        <v>21</v>
      </c>
      <c r="F372">
        <v>1</v>
      </c>
      <c r="G372" t="s">
        <v>128</v>
      </c>
      <c r="H372">
        <v>1</v>
      </c>
      <c r="I372">
        <v>64.400000000000006</v>
      </c>
      <c r="J372">
        <v>35.6</v>
      </c>
      <c r="K372">
        <v>22</v>
      </c>
      <c r="L372">
        <v>13</v>
      </c>
      <c r="M372">
        <v>5</v>
      </c>
      <c r="N372">
        <v>4</v>
      </c>
      <c r="O372">
        <v>9</v>
      </c>
      <c r="P372">
        <v>5</v>
      </c>
      <c r="Q372">
        <v>8</v>
      </c>
      <c r="R372">
        <v>4</v>
      </c>
      <c r="S372">
        <v>88.9</v>
      </c>
      <c r="T372">
        <v>83.3</v>
      </c>
      <c r="U372">
        <v>2</v>
      </c>
      <c r="V372">
        <v>2</v>
      </c>
      <c r="W372">
        <v>42.9</v>
      </c>
      <c r="X372">
        <v>42.9</v>
      </c>
      <c r="Y372">
        <v>54.5</v>
      </c>
      <c r="Z372">
        <v>45.5</v>
      </c>
      <c r="AA372" s="17">
        <f t="shared" si="21"/>
        <v>37130</v>
      </c>
      <c r="AB372">
        <f t="shared" si="22"/>
        <v>37343</v>
      </c>
      <c r="AC372" s="18">
        <f t="shared" si="23"/>
        <v>99</v>
      </c>
      <c r="AD372" s="22">
        <f t="shared" si="24"/>
        <v>99</v>
      </c>
    </row>
    <row r="373" spans="1:30" x14ac:dyDescent="0.25">
      <c r="A373" t="s">
        <v>171</v>
      </c>
      <c r="B373" s="20">
        <v>45074</v>
      </c>
      <c r="C373" t="s">
        <v>176</v>
      </c>
      <c r="D373" s="4">
        <v>32183</v>
      </c>
      <c r="E373" t="s">
        <v>36</v>
      </c>
      <c r="F373">
        <v>2</v>
      </c>
      <c r="G373" t="s">
        <v>130</v>
      </c>
      <c r="H373">
        <v>1</v>
      </c>
      <c r="I373">
        <v>48.2</v>
      </c>
      <c r="J373">
        <v>51.8</v>
      </c>
      <c r="K373">
        <v>13</v>
      </c>
      <c r="L373">
        <v>16</v>
      </c>
      <c r="M373">
        <v>4</v>
      </c>
      <c r="N373">
        <v>3</v>
      </c>
      <c r="O373">
        <v>6</v>
      </c>
      <c r="P373">
        <v>9</v>
      </c>
      <c r="Q373">
        <v>3</v>
      </c>
      <c r="R373">
        <v>4</v>
      </c>
      <c r="S373">
        <v>87.8</v>
      </c>
      <c r="T373">
        <v>88.7</v>
      </c>
      <c r="U373">
        <v>2</v>
      </c>
      <c r="V373">
        <v>1</v>
      </c>
      <c r="W373">
        <v>63.6</v>
      </c>
      <c r="X373">
        <v>58.8</v>
      </c>
      <c r="Y373">
        <v>68.8</v>
      </c>
      <c r="Z373">
        <v>31.3</v>
      </c>
      <c r="AA373" s="17">
        <f t="shared" si="21"/>
        <v>29183</v>
      </c>
      <c r="AB373">
        <f t="shared" si="22"/>
        <v>29261</v>
      </c>
      <c r="AC373" s="18">
        <f t="shared" si="23"/>
        <v>99</v>
      </c>
      <c r="AD373" s="22">
        <f t="shared" si="24"/>
        <v>99</v>
      </c>
    </row>
    <row r="374" spans="1:30" x14ac:dyDescent="0.25">
      <c r="A374" t="s">
        <v>171</v>
      </c>
      <c r="B374" s="20">
        <v>45074</v>
      </c>
      <c r="C374" t="s">
        <v>138</v>
      </c>
      <c r="D374" s="4">
        <v>42212</v>
      </c>
      <c r="E374" t="s">
        <v>12</v>
      </c>
      <c r="F374">
        <v>2</v>
      </c>
      <c r="G374" t="s">
        <v>126</v>
      </c>
      <c r="H374">
        <v>1</v>
      </c>
      <c r="I374">
        <v>40.299999999999997</v>
      </c>
      <c r="J374">
        <v>59.7</v>
      </c>
      <c r="K374">
        <v>12</v>
      </c>
      <c r="L374">
        <v>8</v>
      </c>
      <c r="M374">
        <v>5</v>
      </c>
      <c r="N374">
        <v>4</v>
      </c>
      <c r="O374">
        <v>5</v>
      </c>
      <c r="P374">
        <v>3</v>
      </c>
      <c r="Q374">
        <v>2</v>
      </c>
      <c r="R374">
        <v>1</v>
      </c>
      <c r="S374">
        <v>75.3</v>
      </c>
      <c r="T374">
        <v>83.6</v>
      </c>
      <c r="U374">
        <v>4</v>
      </c>
      <c r="V374">
        <v>3</v>
      </c>
      <c r="W374">
        <v>42.9</v>
      </c>
      <c r="X374">
        <v>15.4</v>
      </c>
      <c r="Y374">
        <v>52.2</v>
      </c>
      <c r="Z374">
        <v>47.8</v>
      </c>
      <c r="AA374" s="17">
        <f t="shared" si="21"/>
        <v>39212</v>
      </c>
      <c r="AB374">
        <f t="shared" si="22"/>
        <v>39000</v>
      </c>
      <c r="AC374" s="18">
        <f t="shared" si="23"/>
        <v>100</v>
      </c>
      <c r="AD374" s="22">
        <f t="shared" si="24"/>
        <v>100</v>
      </c>
    </row>
    <row r="375" spans="1:30" x14ac:dyDescent="0.25">
      <c r="B375" s="20"/>
      <c r="D375" s="4"/>
      <c r="AA375" s="17"/>
      <c r="AD375" s="22"/>
    </row>
    <row r="376" spans="1:30" x14ac:dyDescent="0.25">
      <c r="B376" s="20"/>
      <c r="D376" s="4"/>
      <c r="AA376" s="17"/>
      <c r="AD376" s="22"/>
    </row>
  </sheetData>
  <sortState xmlns:xlrd2="http://schemas.microsoft.com/office/spreadsheetml/2017/richdata2" ref="A2:AD378">
    <sortCondition ref="B1:B37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Home and Away Results</vt:lpstr>
      <vt:lpstr>Sheet1 (4)</vt:lpstr>
      <vt:lpstr>Sheet7</vt:lpstr>
      <vt:lpstr>performance</vt:lpstr>
      <vt:lpstr>Dashboard</vt:lpstr>
      <vt:lpstr>Referee Pivot Tables</vt:lpstr>
      <vt:lpstr>Referee Card Data</vt:lpstr>
      <vt:lpstr>Pitch Size</vt:lpstr>
      <vt:lpstr>Attendance Pivot Table</vt:lpstr>
      <vt:lpstr>Attendance Graph</vt:lpstr>
      <vt:lpstr>Attendance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Shaheen</dc:creator>
  <cp:lastModifiedBy>Shaheen Jazrawi</cp:lastModifiedBy>
  <dcterms:created xsi:type="dcterms:W3CDTF">2024-06-08T07:10:45Z</dcterms:created>
  <dcterms:modified xsi:type="dcterms:W3CDTF">2024-09-03T15:17:14Z</dcterms:modified>
</cp:coreProperties>
</file>